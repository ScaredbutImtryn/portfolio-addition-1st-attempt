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e713aacf7f9677/Desktop/"/>
    </mc:Choice>
  </mc:AlternateContent>
  <xr:revisionPtr revIDLastSave="0" documentId="8_{B8BD5995-B8A4-4F1A-A63B-F2D11D34AE31}" xr6:coauthVersionLast="47" xr6:coauthVersionMax="47" xr10:uidLastSave="{00000000-0000-0000-0000-000000000000}"/>
  <bookViews>
    <workbookView xWindow="-120" yWindow="-120" windowWidth="20730" windowHeight="11310" activeTab="1" xr2:uid="{F8E2FD07-DBBD-4995-A46F-BE6DAE813A42}"/>
  </bookViews>
  <sheets>
    <sheet name="sales-raw data" sheetId="1" r:id="rId1"/>
    <sheet name="cleaned data" sheetId="2" r:id="rId2"/>
    <sheet name="Pivot Table" sheetId="5" r:id="rId3"/>
  </sheets>
  <definedNames>
    <definedName name="_xlnm._FilterDatabase" localSheetId="1" hidden="1">'cleaned data'!$J$1:$J$101</definedName>
  </definedNames>
  <calcPr calcId="0"/>
  <pivotCaches>
    <pivotCache cacheId="20" r:id="rId4"/>
  </pivotCaches>
</workbook>
</file>

<file path=xl/calcChain.xml><?xml version="1.0" encoding="utf-8"?>
<calcChain xmlns="http://schemas.openxmlformats.org/spreadsheetml/2006/main">
  <c r="Q6" i="2" l="1"/>
  <c r="Q5" i="2"/>
  <c r="Q4" i="2"/>
  <c r="Q3" i="2"/>
  <c r="P3" i="2"/>
  <c r="Q2" i="2"/>
  <c r="P6" i="2"/>
  <c r="P5" i="2"/>
  <c r="P4" i="2"/>
  <c r="O3" i="2"/>
  <c r="P2" i="2"/>
  <c r="O6" i="2"/>
  <c r="O5" i="2"/>
  <c r="O4" i="2"/>
  <c r="N4" i="2"/>
  <c r="O2" i="2"/>
  <c r="N6" i="2"/>
  <c r="N5" i="2"/>
  <c r="N3" i="2"/>
  <c r="N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ITAdmin</author>
  </authors>
  <commentList>
    <comment ref="A1" authorId="0" shapeId="0" xr:uid="{EC3FA879-A344-41F7-B752-870F732CE723}">
      <text>
        <r>
          <rPr>
            <sz val="9"/>
            <color indexed="81"/>
            <rFont val="Tahoma"/>
            <family val="2"/>
          </rPr>
          <t xml:space="preserve">Row 1: Bold the font and adjusted the columns wighth
</t>
        </r>
      </text>
    </comment>
    <comment ref="J1" authorId="0" shapeId="0" xr:uid="{57CBB193-AA29-4EAE-9D64-DCF83273AAAD}">
      <text>
        <r>
          <rPr>
            <sz val="9"/>
            <color indexed="81"/>
            <rFont val="Tahoma"/>
            <charset val="1"/>
          </rPr>
          <t xml:space="preserve">Used the textjoin formula to join text in column J and K. 
</t>
        </r>
      </text>
    </comment>
    <comment ref="K1" authorId="0" shapeId="0" xr:uid="{03675F03-FDAB-449F-BD9B-9BD06F8B1EEC}">
      <text>
        <r>
          <rPr>
            <sz val="9"/>
            <color indexed="81"/>
            <rFont val="Tahoma"/>
            <charset val="1"/>
          </rPr>
          <t xml:space="preserve">Used proper formula to correct case type.
</t>
        </r>
      </text>
    </comment>
    <comment ref="F2" authorId="0" shapeId="0" xr:uid="{1EABB415-07E9-4EFD-9B39-1DEAF06BF70C}">
      <text>
        <r>
          <rPr>
            <sz val="9"/>
            <color indexed="81"/>
            <rFont val="Tahoma"/>
            <family val="2"/>
          </rPr>
          <t xml:space="preserve">Used the concat formula to add a space between Trail and Chef. Capitalized c in the word chef. 
</t>
        </r>
      </text>
    </comment>
  </commentList>
</comments>
</file>

<file path=xl/sharedStrings.xml><?xml version="1.0" encoding="utf-8"?>
<sst xmlns="http://schemas.openxmlformats.org/spreadsheetml/2006/main" count="1865" uniqueCount="58">
  <si>
    <t>Year</t>
  </si>
  <si>
    <t>Product</t>
  </si>
  <si>
    <t>line</t>
  </si>
  <si>
    <t>type</t>
  </si>
  <si>
    <t>Order</t>
  </si>
  <si>
    <t>method</t>
  </si>
  <si>
    <t>Retailer</t>
  </si>
  <si>
    <t>country</t>
  </si>
  <si>
    <t>Revenue</t>
  </si>
  <si>
    <t>Camping</t>
  </si>
  <si>
    <t>Equipment</t>
  </si>
  <si>
    <t>Cooking</t>
  </si>
  <si>
    <t>Gear</t>
  </si>
  <si>
    <t>TrailChef</t>
  </si>
  <si>
    <t>Water</t>
  </si>
  <si>
    <t>Bag</t>
  </si>
  <si>
    <t>Telephone</t>
  </si>
  <si>
    <t>United</t>
  </si>
  <si>
    <t>States</t>
  </si>
  <si>
    <t>Canada</t>
  </si>
  <si>
    <t>Mexico</t>
  </si>
  <si>
    <t>Brazil</t>
  </si>
  <si>
    <t>Japan</t>
  </si>
  <si>
    <t>Korea</t>
  </si>
  <si>
    <t>China</t>
  </si>
  <si>
    <t>Singapore</t>
  </si>
  <si>
    <t>Australia</t>
  </si>
  <si>
    <t>Netherlands</t>
  </si>
  <si>
    <t>Sweden</t>
  </si>
  <si>
    <t>Finland</t>
  </si>
  <si>
    <t>Denmark</t>
  </si>
  <si>
    <t>France</t>
  </si>
  <si>
    <t>Germany</t>
  </si>
  <si>
    <t>Kingdom</t>
  </si>
  <si>
    <t>Belgium</t>
  </si>
  <si>
    <t>Switzerland</t>
  </si>
  <si>
    <t>Austria</t>
  </si>
  <si>
    <t>Italy</t>
  </si>
  <si>
    <t>Spain</t>
  </si>
  <si>
    <t>visit</t>
  </si>
  <si>
    <t>Web</t>
  </si>
  <si>
    <t>Special</t>
  </si>
  <si>
    <t>Mail</t>
  </si>
  <si>
    <t>Line</t>
  </si>
  <si>
    <t>Type</t>
  </si>
  <si>
    <t>Method</t>
  </si>
  <si>
    <t>Retailer Country</t>
  </si>
  <si>
    <t>United States</t>
  </si>
  <si>
    <t>United Kingdom</t>
  </si>
  <si>
    <t>Row Labels</t>
  </si>
  <si>
    <t>Grand Total</t>
  </si>
  <si>
    <t>Sum of Revenue</t>
  </si>
  <si>
    <t>2004</t>
  </si>
  <si>
    <t>Visit</t>
  </si>
  <si>
    <t>SUM</t>
  </si>
  <si>
    <t>MIN</t>
  </si>
  <si>
    <t>MAX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</si>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</sst>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 Table!PivotTable3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Table'!$A$4:$A$25</c:f>
              <c:strCache>
                <c:ptCount val="21"/>
                <c:pt idx="0">
                  <c:v>United States</c:v>
                </c:pt>
                <c:pt idx="1">
                  <c:v>China</c:v>
                </c:pt>
                <c:pt idx="2">
                  <c:v>Finland</c:v>
                </c:pt>
                <c:pt idx="3">
                  <c:v>United Kingdom</c:v>
                </c:pt>
                <c:pt idx="4">
                  <c:v>Australia</c:v>
                </c:pt>
                <c:pt idx="5">
                  <c:v>Korea</c:v>
                </c:pt>
                <c:pt idx="6">
                  <c:v>Canada</c:v>
                </c:pt>
                <c:pt idx="7">
                  <c:v>France</c:v>
                </c:pt>
                <c:pt idx="8">
                  <c:v>Brazil</c:v>
                </c:pt>
                <c:pt idx="9">
                  <c:v>Germany</c:v>
                </c:pt>
                <c:pt idx="10">
                  <c:v>Belgium</c:v>
                </c:pt>
                <c:pt idx="11">
                  <c:v>Austria</c:v>
                </c:pt>
                <c:pt idx="12">
                  <c:v>Sweden</c:v>
                </c:pt>
                <c:pt idx="13">
                  <c:v>Mexico</c:v>
                </c:pt>
                <c:pt idx="14">
                  <c:v>Netherlands</c:v>
                </c:pt>
                <c:pt idx="15">
                  <c:v>Italy</c:v>
                </c:pt>
                <c:pt idx="16">
                  <c:v>Singapore</c:v>
                </c:pt>
                <c:pt idx="17">
                  <c:v>Japan</c:v>
                </c:pt>
                <c:pt idx="18">
                  <c:v>Spain</c:v>
                </c:pt>
                <c:pt idx="19">
                  <c:v>Switzerland</c:v>
                </c:pt>
                <c:pt idx="20">
                  <c:v>Denmark</c:v>
                </c:pt>
              </c:strCache>
            </c:strRef>
          </c:cat>
          <c:val>
            <c:numRef>
              <c:f>'Pivot Table'!$B$4:$B$25</c:f>
              <c:numCache>
                <c:formatCode>General</c:formatCode>
                <c:ptCount val="21"/>
                <c:pt idx="0">
                  <c:v>740727.15999999992</c:v>
                </c:pt>
                <c:pt idx="1">
                  <c:v>622502.41</c:v>
                </c:pt>
                <c:pt idx="2">
                  <c:v>571848.43999999994</c:v>
                </c:pt>
                <c:pt idx="3">
                  <c:v>499671.32000000007</c:v>
                </c:pt>
                <c:pt idx="4">
                  <c:v>467089.70999999996</c:v>
                </c:pt>
                <c:pt idx="5">
                  <c:v>429402.43000000005</c:v>
                </c:pt>
                <c:pt idx="6">
                  <c:v>420274.19</c:v>
                </c:pt>
                <c:pt idx="7">
                  <c:v>389180.08999999997</c:v>
                </c:pt>
                <c:pt idx="8">
                  <c:v>387599.39</c:v>
                </c:pt>
                <c:pt idx="9">
                  <c:v>320038.34000000003</c:v>
                </c:pt>
                <c:pt idx="10">
                  <c:v>318531.18</c:v>
                </c:pt>
                <c:pt idx="11">
                  <c:v>315655.74</c:v>
                </c:pt>
                <c:pt idx="12">
                  <c:v>311532.71999999997</c:v>
                </c:pt>
                <c:pt idx="13">
                  <c:v>284685.66000000003</c:v>
                </c:pt>
                <c:pt idx="14">
                  <c:v>244450.26</c:v>
                </c:pt>
                <c:pt idx="15">
                  <c:v>242723.03</c:v>
                </c:pt>
                <c:pt idx="16">
                  <c:v>213250.57</c:v>
                </c:pt>
                <c:pt idx="17">
                  <c:v>196898.91</c:v>
                </c:pt>
                <c:pt idx="18">
                  <c:v>196039.64999999997</c:v>
                </c:pt>
                <c:pt idx="19">
                  <c:v>178394.94</c:v>
                </c:pt>
                <c:pt idx="20">
                  <c:v>129413.03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1-495B-AA95-A2D8A36D35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42336688"/>
        <c:axId val="1542332848"/>
      </c:barChart>
      <c:catAx>
        <c:axId val="154233668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32848"/>
        <c:crosses val="autoZero"/>
        <c:auto val="1"/>
        <c:lblAlgn val="ctr"/>
        <c:lblOffset val="100"/>
        <c:noMultiLvlLbl val="0"/>
      </c:catAx>
      <c:valAx>
        <c:axId val="154233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3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33335</xdr:rowOff>
    </xdr:from>
    <xdr:to>
      <xdr:col>17</xdr:col>
      <xdr:colOff>447674</xdr:colOff>
      <xdr:row>25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BEE922-8B99-8FA1-39E0-41A6BC9B0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Admin" refreshedDate="45759.929289930558" createdVersion="8" refreshedVersion="8" minRefreshableVersion="3" recordCount="101" xr:uid="{A29A5B72-1462-420D-A99B-82E776A850D1}">
  <cacheSource type="worksheet">
    <worksheetSource ref="A1:K1048576" sheet="cleaned data"/>
  </cacheSource>
  <cacheFields count="11">
    <cacheField name="Year" numFmtId="0">
      <sharedItems containsBlank="1"/>
    </cacheField>
    <cacheField name="Product" numFmtId="0">
      <sharedItems containsBlank="1"/>
    </cacheField>
    <cacheField name="Line" numFmtId="0">
      <sharedItems containsBlank="1"/>
    </cacheField>
    <cacheField name="Product2" numFmtId="0">
      <sharedItems containsBlank="1"/>
    </cacheField>
    <cacheField name="Type" numFmtId="0">
      <sharedItems containsBlank="1"/>
    </cacheField>
    <cacheField name="Product3" numFmtId="0">
      <sharedItems containsBlank="1"/>
    </cacheField>
    <cacheField name="Order" numFmtId="0">
      <sharedItems containsBlank="1"/>
    </cacheField>
    <cacheField name="Method" numFmtId="0">
      <sharedItems containsBlank="1" count="2">
        <s v="Bag"/>
        <m/>
      </sharedItems>
    </cacheField>
    <cacheField name="Type2" numFmtId="0">
      <sharedItems containsBlank="1" count="6">
        <s v="Telephone"/>
        <s v="Visit"/>
        <s v="Web"/>
        <s v="Special"/>
        <s v="Mail"/>
        <m/>
      </sharedItems>
    </cacheField>
    <cacheField name="Retailer Country" numFmtId="0">
      <sharedItems containsBlank="1" count="23">
        <s v="United States"/>
        <s v="Canada"/>
        <s v="Mexico"/>
        <s v="Brazil"/>
        <s v="Japan"/>
        <s v="Korea"/>
        <s v="China"/>
        <s v="Singapore"/>
        <s v="Australia"/>
        <s v="Netherlands"/>
        <s v="Sweden"/>
        <s v="Finland"/>
        <s v="Denmark"/>
        <s v="France"/>
        <s v="Germany"/>
        <s v="United Kingdom"/>
        <s v="Belgium"/>
        <s v="Switzerland"/>
        <s v="Austria"/>
        <s v="Italy"/>
        <s v="Spain"/>
        <s v="United"/>
        <m/>
      </sharedItems>
    </cacheField>
    <cacheField name="Revenue" numFmtId="0">
      <sharedItems containsString="0" containsBlank="1" containsNumber="1" minValue="6615.84" maxValue="348446.25" count="44">
        <n v="315044.33"/>
        <n v="14313.48"/>
        <n v="156644.47"/>
        <n v="59191.72"/>
        <n v="7029.33"/>
        <n v="52613.47"/>
        <n v="41912.85"/>
        <n v="59479.91"/>
        <n v="156324.28"/>
        <n v="23042.67"/>
        <n v="66446.59"/>
        <n v="13620.11"/>
        <n v="77447.929999999993"/>
        <n v="6615.84"/>
        <n v="62800.36"/>
        <n v="52776.36"/>
        <n v="52519.3"/>
        <n v="28405.51"/>
        <n v="42163.45"/>
        <n v="7367.64"/>
        <n v="59404.73"/>
        <n v="72891.83"/>
        <n v="12469.92"/>
        <n v="96009.15"/>
        <n v="137602.28"/>
        <n v="103089.33"/>
        <n v="13036.14"/>
        <n v="340867.26"/>
        <n v="171649.73"/>
        <n v="33964.86"/>
        <n v="156433.42000000001"/>
        <n v="81860.98"/>
        <n v="98184.41"/>
        <n v="348446.25"/>
        <n v="18728.78"/>
        <n v="44093.69"/>
        <n v="121196.69"/>
        <n v="74427.460000000006"/>
        <n v="168290.41"/>
        <n v="56911.24"/>
        <n v="13707.2"/>
        <n v="127219.95"/>
        <n v="27842.7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004"/>
    <s v="Camping"/>
    <s v="Equipment"/>
    <s v="Cooking"/>
    <s v="Gear"/>
    <s v="Trail Chef"/>
    <s v="Water"/>
    <x v="0"/>
    <x v="0"/>
    <x v="0"/>
    <n v="315044.33"/>
  </r>
  <r>
    <s v="2004"/>
    <s v="Camping"/>
    <s v="Equipment"/>
    <s v="Cooking"/>
    <s v="Gear"/>
    <s v="Trail Chef"/>
    <s v="Water"/>
    <x v="0"/>
    <x v="0"/>
    <x v="1"/>
    <n v="14313.48"/>
  </r>
  <r>
    <s v="2004"/>
    <s v="Camping"/>
    <s v="Equipment"/>
    <s v="Cooking"/>
    <s v="Gear"/>
    <s v="Trail Chef"/>
    <s v="Water"/>
    <x v="0"/>
    <x v="0"/>
    <x v="2"/>
    <n v="156644.47"/>
  </r>
  <r>
    <s v="2004"/>
    <s v="Camping"/>
    <s v="Equipment"/>
    <s v="Cooking"/>
    <s v="Gear"/>
    <s v="Trail Chef"/>
    <s v="Water"/>
    <x v="0"/>
    <x v="0"/>
    <x v="3"/>
    <n v="59191.72"/>
  </r>
  <r>
    <s v="2004"/>
    <s v="Camping"/>
    <s v="Equipment"/>
    <s v="Cooking"/>
    <s v="Gear"/>
    <s v="Trail Chef"/>
    <s v="Water"/>
    <x v="0"/>
    <x v="0"/>
    <x v="4"/>
    <n v="7029.33"/>
  </r>
  <r>
    <s v="2004"/>
    <s v="Camping"/>
    <s v="Equipment"/>
    <s v="Cooking"/>
    <s v="Gear"/>
    <s v="Trail Chef"/>
    <s v="Water"/>
    <x v="0"/>
    <x v="0"/>
    <x v="5"/>
    <n v="52613.47"/>
  </r>
  <r>
    <s v="2004"/>
    <s v="Camping"/>
    <s v="Equipment"/>
    <s v="Cooking"/>
    <s v="Gear"/>
    <s v="Trail Chef"/>
    <s v="Water"/>
    <x v="0"/>
    <x v="0"/>
    <x v="6"/>
    <n v="41912.85"/>
  </r>
  <r>
    <s v="2004"/>
    <s v="Camping"/>
    <s v="Equipment"/>
    <s v="Cooking"/>
    <s v="Gear"/>
    <s v="Trail Chef"/>
    <s v="Water"/>
    <x v="0"/>
    <x v="0"/>
    <x v="7"/>
    <n v="59479.91"/>
  </r>
  <r>
    <s v="2004"/>
    <s v="Camping"/>
    <s v="Equipment"/>
    <s v="Cooking"/>
    <s v="Gear"/>
    <s v="Trail Chef"/>
    <s v="Water"/>
    <x v="0"/>
    <x v="0"/>
    <x v="8"/>
    <n v="156324.28"/>
  </r>
  <r>
    <s v="2004"/>
    <s v="Camping"/>
    <s v="Equipment"/>
    <s v="Cooking"/>
    <s v="Gear"/>
    <s v="Trail Chef"/>
    <s v="Water"/>
    <x v="0"/>
    <x v="0"/>
    <x v="9"/>
    <n v="23042.67"/>
  </r>
  <r>
    <s v="2004"/>
    <s v="Camping"/>
    <s v="Equipment"/>
    <s v="Cooking"/>
    <s v="Gear"/>
    <s v="Trail Chef"/>
    <s v="Water"/>
    <x v="0"/>
    <x v="0"/>
    <x v="10"/>
    <n v="59479.91"/>
  </r>
  <r>
    <s v="2004"/>
    <s v="Camping"/>
    <s v="Equipment"/>
    <s v="Cooking"/>
    <s v="Gear"/>
    <s v="Trail Chef"/>
    <s v="Water"/>
    <x v="0"/>
    <x v="0"/>
    <x v="11"/>
    <n v="66446.59"/>
  </r>
  <r>
    <s v="2004"/>
    <s v="Camping"/>
    <s v="Equipment"/>
    <s v="Cooking"/>
    <s v="Gear"/>
    <s v="Trail Chef"/>
    <s v="Water"/>
    <x v="0"/>
    <x v="0"/>
    <x v="12"/>
    <n v="13620.11"/>
  </r>
  <r>
    <s v="2004"/>
    <s v="Camping"/>
    <s v="Equipment"/>
    <s v="Cooking"/>
    <s v="Gear"/>
    <s v="Trail Chef"/>
    <s v="Water"/>
    <x v="0"/>
    <x v="0"/>
    <x v="13"/>
    <n v="77447.929999999993"/>
  </r>
  <r>
    <s v="2004"/>
    <s v="Camping"/>
    <s v="Equipment"/>
    <s v="Cooking"/>
    <s v="Gear"/>
    <s v="Trail Chef"/>
    <s v="Water"/>
    <x v="0"/>
    <x v="0"/>
    <x v="14"/>
    <n v="6615.84"/>
  </r>
  <r>
    <s v="2004"/>
    <s v="Camping"/>
    <s v="Equipment"/>
    <s v="Cooking"/>
    <s v="Gear"/>
    <s v="Trail Chef"/>
    <s v="Water"/>
    <x v="0"/>
    <x v="0"/>
    <x v="15"/>
    <n v="62800.36"/>
  </r>
  <r>
    <s v="2004"/>
    <s v="Camping"/>
    <s v="Equipment"/>
    <s v="Cooking"/>
    <s v="Gear"/>
    <s v="Trail Chef"/>
    <s v="Water"/>
    <x v="0"/>
    <x v="0"/>
    <x v="16"/>
    <n v="52776.36"/>
  </r>
  <r>
    <s v="2004"/>
    <s v="Camping"/>
    <s v="Equipment"/>
    <s v="Cooking"/>
    <s v="Gear"/>
    <s v="Trail Chef"/>
    <s v="Water"/>
    <x v="0"/>
    <x v="0"/>
    <x v="17"/>
    <n v="52519.3"/>
  </r>
  <r>
    <s v="2004"/>
    <s v="Camping"/>
    <s v="Equipment"/>
    <s v="Cooking"/>
    <s v="Gear"/>
    <s v="Trail Chef"/>
    <s v="Water"/>
    <x v="0"/>
    <x v="0"/>
    <x v="18"/>
    <n v="28405.51"/>
  </r>
  <r>
    <s v="2004"/>
    <s v="Camping"/>
    <s v="Equipment"/>
    <s v="Cooking"/>
    <s v="Gear"/>
    <s v="Trail Chef"/>
    <s v="Water"/>
    <x v="0"/>
    <x v="0"/>
    <x v="19"/>
    <n v="59479.91"/>
  </r>
  <r>
    <s v="2004"/>
    <s v="Camping"/>
    <s v="Equipment"/>
    <s v="Cooking"/>
    <s v="Gear"/>
    <s v="Trail Chef"/>
    <s v="Water"/>
    <x v="0"/>
    <x v="0"/>
    <x v="20"/>
    <n v="42163.45"/>
  </r>
  <r>
    <s v="2004"/>
    <s v="Camping"/>
    <s v="Equipment"/>
    <s v="Cooking"/>
    <s v="Gear"/>
    <s v="Trail Chef"/>
    <s v="Water"/>
    <x v="0"/>
    <x v="1"/>
    <x v="0"/>
    <n v="7367.64"/>
  </r>
  <r>
    <s v="2004"/>
    <s v="Camping"/>
    <s v="Equipment"/>
    <s v="Cooking"/>
    <s v="Gear"/>
    <s v="Trail Chef"/>
    <s v="Water"/>
    <x v="0"/>
    <x v="1"/>
    <x v="1"/>
    <n v="59404.73"/>
  </r>
  <r>
    <s v="2004"/>
    <s v="Camping"/>
    <s v="Equipment"/>
    <s v="Cooking"/>
    <s v="Gear"/>
    <s v="Trail Chef"/>
    <s v="Water"/>
    <x v="0"/>
    <x v="1"/>
    <x v="2"/>
    <n v="13620.11"/>
  </r>
  <r>
    <s v="2004"/>
    <s v="Camping"/>
    <s v="Equipment"/>
    <s v="Cooking"/>
    <s v="Gear"/>
    <s v="Trail Chef"/>
    <s v="Water"/>
    <x v="0"/>
    <x v="1"/>
    <x v="3"/>
    <n v="77447.929999999993"/>
  </r>
  <r>
    <s v="2004"/>
    <s v="Camping"/>
    <s v="Equipment"/>
    <s v="Cooking"/>
    <s v="Gear"/>
    <s v="Trail Chef"/>
    <s v="Water"/>
    <x v="0"/>
    <x v="1"/>
    <x v="4"/>
    <n v="6615.84"/>
  </r>
  <r>
    <s v="2004"/>
    <s v="Camping"/>
    <s v="Equipment"/>
    <s v="Cooking"/>
    <s v="Gear"/>
    <s v="Trail Chef"/>
    <s v="Water"/>
    <x v="0"/>
    <x v="1"/>
    <x v="5"/>
    <n v="62800.36"/>
  </r>
  <r>
    <s v="2004"/>
    <s v="Camping"/>
    <s v="Equipment"/>
    <s v="Cooking"/>
    <s v="Gear"/>
    <s v="Trail Chef"/>
    <s v="Water"/>
    <x v="0"/>
    <x v="1"/>
    <x v="6"/>
    <n v="52776.36"/>
  </r>
  <r>
    <s v="2004"/>
    <s v="Camping"/>
    <s v="Equipment"/>
    <s v="Cooking"/>
    <s v="Gear"/>
    <s v="Trail Chef"/>
    <s v="Water"/>
    <x v="0"/>
    <x v="1"/>
    <x v="7"/>
    <n v="52519.3"/>
  </r>
  <r>
    <s v="2004"/>
    <s v="Camping"/>
    <s v="Equipment"/>
    <s v="Cooking"/>
    <s v="Gear"/>
    <s v="Trail Chef"/>
    <s v="Water"/>
    <x v="0"/>
    <x v="1"/>
    <x v="8"/>
    <n v="28405.51"/>
  </r>
  <r>
    <s v="2004"/>
    <s v="Camping"/>
    <s v="Equipment"/>
    <s v="Cooking"/>
    <s v="Gear"/>
    <s v="Trail Chef"/>
    <s v="Water"/>
    <x v="0"/>
    <x v="1"/>
    <x v="9"/>
    <n v="59479.91"/>
  </r>
  <r>
    <s v="2004"/>
    <s v="Camping"/>
    <s v="Equipment"/>
    <s v="Cooking"/>
    <s v="Gear"/>
    <s v="Trail Chef"/>
    <s v="Water"/>
    <x v="0"/>
    <x v="1"/>
    <x v="10"/>
    <n v="62800.36"/>
  </r>
  <r>
    <s v="2004"/>
    <s v="Camping"/>
    <s v="Equipment"/>
    <s v="Cooking"/>
    <s v="Gear"/>
    <s v="Trail Chef"/>
    <s v="Water"/>
    <x v="0"/>
    <x v="1"/>
    <x v="11"/>
    <n v="72891.83"/>
  </r>
  <r>
    <s v="2004"/>
    <s v="Camping"/>
    <s v="Equipment"/>
    <s v="Cooking"/>
    <s v="Gear"/>
    <s v="Trail Chef"/>
    <s v="Water"/>
    <x v="0"/>
    <x v="1"/>
    <x v="12"/>
    <n v="12469.92"/>
  </r>
  <r>
    <s v="2004"/>
    <s v="Camping"/>
    <s v="Equipment"/>
    <s v="Cooking"/>
    <s v="Gear"/>
    <s v="Trail Chef"/>
    <s v="Water"/>
    <x v="0"/>
    <x v="1"/>
    <x v="13"/>
    <n v="96009.15"/>
  </r>
  <r>
    <s v="2004"/>
    <s v="Camping"/>
    <s v="Equipment"/>
    <s v="Cooking"/>
    <s v="Gear"/>
    <s v="Trail Chef"/>
    <s v="Water"/>
    <x v="0"/>
    <x v="1"/>
    <x v="14"/>
    <n v="137602.28"/>
  </r>
  <r>
    <s v="2004"/>
    <s v="Camping"/>
    <s v="Equipment"/>
    <s v="Cooking"/>
    <s v="Gear"/>
    <s v="Trail Chef"/>
    <s v="Water"/>
    <x v="0"/>
    <x v="1"/>
    <x v="15"/>
    <n v="52776.36"/>
  </r>
  <r>
    <s v="2004"/>
    <s v="Camping"/>
    <s v="Equipment"/>
    <s v="Cooking"/>
    <s v="Gear"/>
    <s v="Trail Chef"/>
    <s v="Water"/>
    <x v="0"/>
    <x v="1"/>
    <x v="16"/>
    <n v="52519.3"/>
  </r>
  <r>
    <s v="2004"/>
    <s v="Camping"/>
    <s v="Equipment"/>
    <s v="Cooking"/>
    <s v="Gear"/>
    <s v="Trail Chef"/>
    <s v="Water"/>
    <x v="0"/>
    <x v="1"/>
    <x v="17"/>
    <n v="28405.51"/>
  </r>
  <r>
    <s v="2004"/>
    <s v="Camping"/>
    <s v="Equipment"/>
    <s v="Cooking"/>
    <s v="Gear"/>
    <s v="Trail Chef"/>
    <s v="Water"/>
    <x v="0"/>
    <x v="1"/>
    <x v="18"/>
    <n v="59479.91"/>
  </r>
  <r>
    <s v="2004"/>
    <s v="Camping"/>
    <s v="Equipment"/>
    <s v="Cooking"/>
    <s v="Gear"/>
    <s v="Trail Chef"/>
    <s v="Water"/>
    <x v="0"/>
    <x v="1"/>
    <x v="19"/>
    <n v="103089.33"/>
  </r>
  <r>
    <s v="2004"/>
    <s v="Camping"/>
    <s v="Equipment"/>
    <s v="Cooking"/>
    <s v="Gear"/>
    <s v="Trail Chef"/>
    <s v="Water"/>
    <x v="0"/>
    <x v="1"/>
    <x v="20"/>
    <n v="13036.14"/>
  </r>
  <r>
    <s v="2004"/>
    <s v="Camping"/>
    <s v="Equipment"/>
    <s v="Cooking"/>
    <s v="Gear"/>
    <s v="Trail Chef"/>
    <s v="Water"/>
    <x v="0"/>
    <x v="2"/>
    <x v="0"/>
    <n v="340867.26"/>
  </r>
  <r>
    <s v="2004"/>
    <s v="Camping"/>
    <s v="Equipment"/>
    <s v="Cooking"/>
    <s v="Gear"/>
    <s v="Trail Chef"/>
    <s v="Water"/>
    <x v="0"/>
    <x v="2"/>
    <x v="1"/>
    <n v="171649.73"/>
  </r>
  <r>
    <s v="2004"/>
    <s v="Camping"/>
    <s v="Equipment"/>
    <s v="Cooking"/>
    <s v="Gear"/>
    <s v="Trail Chef"/>
    <s v="Water"/>
    <x v="0"/>
    <x v="2"/>
    <x v="2"/>
    <n v="33964.86"/>
  </r>
  <r>
    <s v="2004"/>
    <s v="Camping"/>
    <s v="Equipment"/>
    <s v="Cooking"/>
    <s v="Gear"/>
    <s v="Trail Chef"/>
    <s v="Water"/>
    <x v="0"/>
    <x v="2"/>
    <x v="3"/>
    <n v="156433.42000000001"/>
  </r>
  <r>
    <s v="2004"/>
    <s v="Camping"/>
    <s v="Equipment"/>
    <s v="Cooking"/>
    <s v="Gear"/>
    <s v="Trail Chef"/>
    <s v="Water"/>
    <x v="0"/>
    <x v="2"/>
    <x v="4"/>
    <n v="81860.98"/>
  </r>
  <r>
    <s v="2004"/>
    <s v="Camping"/>
    <s v="Equipment"/>
    <s v="Cooking"/>
    <s v="Gear"/>
    <s v="Trail Chef"/>
    <s v="Water"/>
    <x v="0"/>
    <x v="2"/>
    <x v="5"/>
    <n v="98184.41"/>
  </r>
  <r>
    <s v="2004"/>
    <s v="Camping"/>
    <s v="Equipment"/>
    <s v="Cooking"/>
    <s v="Gear"/>
    <s v="Trail Chef"/>
    <s v="Water"/>
    <x v="0"/>
    <x v="2"/>
    <x v="6"/>
    <n v="348446.25"/>
  </r>
  <r>
    <s v="2004"/>
    <s v="Camping"/>
    <s v="Equipment"/>
    <s v="Cooking"/>
    <s v="Gear"/>
    <s v="Trail Chef"/>
    <s v="Water"/>
    <x v="0"/>
    <x v="2"/>
    <x v="7"/>
    <n v="18728.78"/>
  </r>
  <r>
    <s v="2004"/>
    <s v="Camping"/>
    <s v="Equipment"/>
    <s v="Cooking"/>
    <s v="Gear"/>
    <s v="Trail Chef"/>
    <s v="Water"/>
    <x v="0"/>
    <x v="2"/>
    <x v="8"/>
    <n v="156433.42000000001"/>
  </r>
  <r>
    <s v="2004"/>
    <s v="Camping"/>
    <s v="Equipment"/>
    <s v="Cooking"/>
    <s v="Gear"/>
    <s v="Trail Chef"/>
    <s v="Water"/>
    <x v="0"/>
    <x v="2"/>
    <x v="9"/>
    <n v="81860.98"/>
  </r>
  <r>
    <s v="2004"/>
    <s v="Camping"/>
    <s v="Equipment"/>
    <s v="Cooking"/>
    <s v="Gear"/>
    <s v="Trail Chef"/>
    <s v="Water"/>
    <x v="0"/>
    <x v="2"/>
    <x v="10"/>
    <n v="98184.41"/>
  </r>
  <r>
    <s v="2004"/>
    <s v="Camping"/>
    <s v="Equipment"/>
    <s v="Cooking"/>
    <s v="Gear"/>
    <s v="Trail Chef"/>
    <s v="Water"/>
    <x v="0"/>
    <x v="2"/>
    <x v="11"/>
    <n v="348446.25"/>
  </r>
  <r>
    <s v="2004"/>
    <s v="Camping"/>
    <s v="Equipment"/>
    <s v="Cooking"/>
    <s v="Gear"/>
    <s v="Trail Chef"/>
    <s v="Water"/>
    <x v="0"/>
    <x v="2"/>
    <x v="12"/>
    <n v="44093.69"/>
  </r>
  <r>
    <s v="2004"/>
    <s v="Camping"/>
    <s v="Equipment"/>
    <s v="Cooking"/>
    <s v="Gear"/>
    <s v="Trail Chef"/>
    <s v="Water"/>
    <x v="0"/>
    <x v="2"/>
    <x v="13"/>
    <n v="121196.69"/>
  </r>
  <r>
    <s v="2004"/>
    <s v="Camping"/>
    <s v="Equipment"/>
    <s v="Cooking"/>
    <s v="Gear"/>
    <s v="Trail Chef"/>
    <s v="Water"/>
    <x v="0"/>
    <x v="2"/>
    <x v="14"/>
    <n v="74427.460000000006"/>
  </r>
  <r>
    <s v="2004"/>
    <s v="Camping"/>
    <s v="Equipment"/>
    <s v="Cooking"/>
    <s v="Gear"/>
    <s v="Trail Chef"/>
    <s v="Water"/>
    <x v="0"/>
    <x v="2"/>
    <x v="15"/>
    <n v="168290.41"/>
  </r>
  <r>
    <s v="2004"/>
    <s v="Camping"/>
    <s v="Equipment"/>
    <s v="Cooking"/>
    <s v="Gear"/>
    <s v="Trail Chef"/>
    <s v="Water"/>
    <x v="0"/>
    <x v="2"/>
    <x v="16"/>
    <n v="56911.24"/>
  </r>
  <r>
    <s v="2004"/>
    <s v="Camping"/>
    <s v="Equipment"/>
    <s v="Cooking"/>
    <s v="Gear"/>
    <s v="Trail Chef"/>
    <s v="Water"/>
    <x v="0"/>
    <x v="2"/>
    <x v="17"/>
    <n v="74427.460000000006"/>
  </r>
  <r>
    <s v="2004"/>
    <s v="Camping"/>
    <s v="Equipment"/>
    <s v="Cooking"/>
    <s v="Gear"/>
    <s v="Trail Chef"/>
    <s v="Water"/>
    <x v="0"/>
    <x v="2"/>
    <x v="18"/>
    <n v="168290.41"/>
  </r>
  <r>
    <s v="2004"/>
    <s v="Camping"/>
    <s v="Equipment"/>
    <s v="Cooking"/>
    <s v="Gear"/>
    <s v="Trail Chef"/>
    <s v="Water"/>
    <x v="0"/>
    <x v="2"/>
    <x v="19"/>
    <n v="13707.2"/>
  </r>
  <r>
    <s v="2004"/>
    <s v="Camping"/>
    <s v="Equipment"/>
    <s v="Cooking"/>
    <s v="Gear"/>
    <s v="Trail Chef"/>
    <s v="Water"/>
    <x v="0"/>
    <x v="2"/>
    <x v="20"/>
    <n v="127219.95"/>
  </r>
  <r>
    <s v="2004"/>
    <s v="Camping"/>
    <s v="Equipment"/>
    <s v="Cooking"/>
    <s v="Gear"/>
    <s v="Trail Chef"/>
    <s v="Water"/>
    <x v="0"/>
    <x v="3"/>
    <x v="21"/>
    <n v="74427.460000000006"/>
  </r>
  <r>
    <s v="2004"/>
    <s v="Camping"/>
    <s v="Equipment"/>
    <s v="Cooking"/>
    <s v="Gear"/>
    <s v="Trail Chef"/>
    <s v="Water"/>
    <x v="0"/>
    <x v="3"/>
    <x v="1"/>
    <n v="168290.41"/>
  </r>
  <r>
    <s v="2004"/>
    <s v="Camping"/>
    <s v="Equipment"/>
    <s v="Cooking"/>
    <s v="Gear"/>
    <s v="Trail Chef"/>
    <s v="Water"/>
    <x v="0"/>
    <x v="3"/>
    <x v="2"/>
    <n v="27842.75"/>
  </r>
  <r>
    <s v="2004"/>
    <s v="Camping"/>
    <s v="Equipment"/>
    <s v="Cooking"/>
    <s v="Gear"/>
    <s v="Trail Chef"/>
    <s v="Water"/>
    <x v="0"/>
    <x v="3"/>
    <x v="3"/>
    <n v="52613.47"/>
  </r>
  <r>
    <s v="2004"/>
    <s v="Camping"/>
    <s v="Equipment"/>
    <s v="Cooking"/>
    <s v="Gear"/>
    <s v="Trail Chef"/>
    <s v="Water"/>
    <x v="0"/>
    <x v="3"/>
    <x v="4"/>
    <n v="41912.85"/>
  </r>
  <r>
    <s v="2004"/>
    <s v="Camping"/>
    <s v="Equipment"/>
    <s v="Cooking"/>
    <s v="Gear"/>
    <s v="Trail Chef"/>
    <s v="Water"/>
    <x v="0"/>
    <x v="3"/>
    <x v="5"/>
    <n v="59479.91"/>
  </r>
  <r>
    <s v="2004"/>
    <s v="Camping"/>
    <s v="Equipment"/>
    <s v="Cooking"/>
    <s v="Gear"/>
    <s v="Trail Chef"/>
    <s v="Water"/>
    <x v="0"/>
    <x v="3"/>
    <x v="6"/>
    <n v="156324.28"/>
  </r>
  <r>
    <s v="2004"/>
    <s v="Camping"/>
    <s v="Equipment"/>
    <s v="Cooking"/>
    <s v="Gear"/>
    <s v="Trail Chef"/>
    <s v="Water"/>
    <x v="0"/>
    <x v="3"/>
    <x v="7"/>
    <n v="23042.67"/>
  </r>
  <r>
    <s v="2004"/>
    <s v="Camping"/>
    <s v="Equipment"/>
    <s v="Cooking"/>
    <s v="Gear"/>
    <s v="Trail Chef"/>
    <s v="Water"/>
    <x v="0"/>
    <x v="3"/>
    <x v="8"/>
    <n v="59479.91"/>
  </r>
  <r>
    <s v="2004"/>
    <s v="Camping"/>
    <s v="Equipment"/>
    <s v="Cooking"/>
    <s v="Gear"/>
    <s v="Trail Chef"/>
    <s v="Water"/>
    <x v="0"/>
    <x v="3"/>
    <x v="9"/>
    <n v="66446.59"/>
  </r>
  <r>
    <s v="2004"/>
    <s v="Camping"/>
    <s v="Equipment"/>
    <s v="Cooking"/>
    <s v="Gear"/>
    <s v="Trail Chef"/>
    <s v="Water"/>
    <x v="0"/>
    <x v="3"/>
    <x v="10"/>
    <n v="13620.11"/>
  </r>
  <r>
    <s v="2004"/>
    <s v="Camping"/>
    <s v="Equipment"/>
    <s v="Cooking"/>
    <s v="Gear"/>
    <s v="Trail Chef"/>
    <s v="Water"/>
    <x v="0"/>
    <x v="3"/>
    <x v="11"/>
    <n v="77447.929999999993"/>
  </r>
  <r>
    <s v="2004"/>
    <s v="Camping"/>
    <s v="Equipment"/>
    <s v="Cooking"/>
    <s v="Gear"/>
    <s v="Trail Chef"/>
    <s v="Water"/>
    <x v="0"/>
    <x v="3"/>
    <x v="12"/>
    <n v="6615.84"/>
  </r>
  <r>
    <s v="2004"/>
    <s v="Camping"/>
    <s v="Equipment"/>
    <s v="Cooking"/>
    <s v="Gear"/>
    <s v="Trail Chef"/>
    <s v="Water"/>
    <x v="0"/>
    <x v="3"/>
    <x v="13"/>
    <n v="52613.47"/>
  </r>
  <r>
    <s v="2004"/>
    <s v="Camping"/>
    <s v="Equipment"/>
    <s v="Cooking"/>
    <s v="Gear"/>
    <s v="Trail Chef"/>
    <s v="Water"/>
    <x v="0"/>
    <x v="3"/>
    <x v="14"/>
    <n v="41912.85"/>
  </r>
  <r>
    <s v="2004"/>
    <s v="Camping"/>
    <s v="Equipment"/>
    <s v="Cooking"/>
    <s v="Gear"/>
    <s v="Trail Chef"/>
    <s v="Water"/>
    <x v="0"/>
    <x v="3"/>
    <x v="15"/>
    <n v="59479.91"/>
  </r>
  <r>
    <s v="2004"/>
    <s v="Camping"/>
    <s v="Equipment"/>
    <s v="Cooking"/>
    <s v="Gear"/>
    <s v="Trail Chef"/>
    <s v="Water"/>
    <x v="0"/>
    <x v="3"/>
    <x v="16"/>
    <n v="156324.28"/>
  </r>
  <r>
    <s v="2004"/>
    <s v="Camping"/>
    <s v="Equipment"/>
    <s v="Cooking"/>
    <s v="Gear"/>
    <s v="Trail Chef"/>
    <s v="Water"/>
    <x v="0"/>
    <x v="3"/>
    <x v="17"/>
    <n v="23042.67"/>
  </r>
  <r>
    <s v="2004"/>
    <s v="Camping"/>
    <s v="Equipment"/>
    <s v="Cooking"/>
    <s v="Gear"/>
    <s v="Trail Chef"/>
    <s v="Water"/>
    <x v="0"/>
    <x v="3"/>
    <x v="18"/>
    <n v="59479.91"/>
  </r>
  <r>
    <s v="2004"/>
    <s v="Camping"/>
    <s v="Equipment"/>
    <s v="Cooking"/>
    <s v="Gear"/>
    <s v="Trail Chef"/>
    <s v="Water"/>
    <x v="0"/>
    <x v="3"/>
    <x v="19"/>
    <n v="66446.59"/>
  </r>
  <r>
    <s v="2004"/>
    <s v="Camping"/>
    <s v="Equipment"/>
    <s v="Cooking"/>
    <s v="Gear"/>
    <s v="Trail Chef"/>
    <s v="Water"/>
    <x v="0"/>
    <x v="3"/>
    <x v="20"/>
    <n v="13620.11"/>
  </r>
  <r>
    <s v="2004"/>
    <s v="Camping"/>
    <s v="Equipment"/>
    <s v="Cooking"/>
    <s v="Gear"/>
    <s v="Trail Chef"/>
    <s v="Water"/>
    <x v="0"/>
    <x v="4"/>
    <x v="0"/>
    <n v="77447.929999999993"/>
  </r>
  <r>
    <s v="2004"/>
    <s v="Camping"/>
    <s v="Equipment"/>
    <s v="Cooking"/>
    <s v="Gear"/>
    <s v="Trail Chef"/>
    <s v="Water"/>
    <x v="0"/>
    <x v="4"/>
    <x v="1"/>
    <n v="6615.84"/>
  </r>
  <r>
    <s v="2004"/>
    <s v="Camping"/>
    <s v="Equipment"/>
    <s v="Cooking"/>
    <s v="Gear"/>
    <s v="Trail Chef"/>
    <s v="Water"/>
    <x v="0"/>
    <x v="4"/>
    <x v="2"/>
    <n v="52613.47"/>
  </r>
  <r>
    <s v="2004"/>
    <s v="Camping"/>
    <s v="Equipment"/>
    <s v="Cooking"/>
    <s v="Gear"/>
    <s v="Trail Chef"/>
    <s v="Water"/>
    <x v="0"/>
    <x v="4"/>
    <x v="3"/>
    <n v="41912.85"/>
  </r>
  <r>
    <s v="2004"/>
    <s v="Camping"/>
    <s v="Equipment"/>
    <s v="Cooking"/>
    <s v="Gear"/>
    <s v="Trail Chef"/>
    <s v="Water"/>
    <x v="0"/>
    <x v="4"/>
    <x v="4"/>
    <n v="59479.91"/>
  </r>
  <r>
    <s v="2004"/>
    <s v="Camping"/>
    <s v="Equipment"/>
    <s v="Cooking"/>
    <s v="Gear"/>
    <s v="Trail Chef"/>
    <s v="Water"/>
    <x v="0"/>
    <x v="4"/>
    <x v="5"/>
    <n v="156324.28"/>
  </r>
  <r>
    <s v="2004"/>
    <s v="Camping"/>
    <s v="Equipment"/>
    <s v="Cooking"/>
    <s v="Gear"/>
    <s v="Trail Chef"/>
    <s v="Water"/>
    <x v="0"/>
    <x v="4"/>
    <x v="6"/>
    <n v="23042.67"/>
  </r>
  <r>
    <s v="2004"/>
    <s v="Camping"/>
    <s v="Equipment"/>
    <s v="Cooking"/>
    <s v="Gear"/>
    <s v="Trail Chef"/>
    <s v="Water"/>
    <x v="0"/>
    <x v="4"/>
    <x v="7"/>
    <n v="59479.91"/>
  </r>
  <r>
    <s v="2004"/>
    <s v="Camping"/>
    <s v="Equipment"/>
    <s v="Cooking"/>
    <s v="Gear"/>
    <s v="Trail Chef"/>
    <s v="Water"/>
    <x v="0"/>
    <x v="4"/>
    <x v="8"/>
    <n v="66446.59"/>
  </r>
  <r>
    <s v="2004"/>
    <s v="Camping"/>
    <s v="Equipment"/>
    <s v="Cooking"/>
    <s v="Gear"/>
    <s v="Trail Chef"/>
    <s v="Water"/>
    <x v="0"/>
    <x v="4"/>
    <x v="9"/>
    <n v="13620.11"/>
  </r>
  <r>
    <s v="2004"/>
    <s v="Camping"/>
    <s v="Equipment"/>
    <s v="Cooking"/>
    <s v="Gear"/>
    <s v="Trail Chef"/>
    <s v="Water"/>
    <x v="0"/>
    <x v="4"/>
    <x v="10"/>
    <n v="77447.929999999993"/>
  </r>
  <r>
    <s v="2004"/>
    <s v="Camping"/>
    <s v="Equipment"/>
    <s v="Cooking"/>
    <s v="Gear"/>
    <s v="Trail Chef"/>
    <s v="Water"/>
    <x v="0"/>
    <x v="4"/>
    <x v="11"/>
    <n v="6615.84"/>
  </r>
  <r>
    <s v="2004"/>
    <s v="Camping"/>
    <s v="Equipment"/>
    <s v="Cooking"/>
    <s v="Gear"/>
    <s v="Trail Chef"/>
    <s v="Water"/>
    <x v="0"/>
    <x v="4"/>
    <x v="12"/>
    <n v="52613.47"/>
  </r>
  <r>
    <s v="2004"/>
    <s v="Camping"/>
    <s v="Equipment"/>
    <s v="Cooking"/>
    <s v="Gear"/>
    <s v="Trail Chef"/>
    <s v="Water"/>
    <x v="0"/>
    <x v="4"/>
    <x v="13"/>
    <n v="41912.85"/>
  </r>
  <r>
    <s v="2004"/>
    <s v="Camping"/>
    <s v="Equipment"/>
    <s v="Cooking"/>
    <s v="Gear"/>
    <s v="Trail Chef"/>
    <s v="Water"/>
    <x v="0"/>
    <x v="4"/>
    <x v="14"/>
    <n v="59479.91"/>
  </r>
  <r>
    <s v="2004"/>
    <s v="Camping"/>
    <s v="Equipment"/>
    <s v="Cooking"/>
    <s v="Gear"/>
    <s v="Trail Chef"/>
    <s v="Water"/>
    <x v="0"/>
    <x v="4"/>
    <x v="15"/>
    <n v="156324.28"/>
  </r>
  <r>
    <m/>
    <m/>
    <m/>
    <m/>
    <m/>
    <m/>
    <m/>
    <x v="1"/>
    <x v="5"/>
    <x v="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31FE4-6349-4574-BAC0-61B159EFD12E}" name="PivotTable3" cacheId="20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multipleFieldFilters="0" chartFormat="26">
  <location ref="A3:B2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 sortType="descending">
      <items count="7">
        <item h="1" x="5"/>
        <item x="2"/>
        <item x="1"/>
        <item x="0"/>
        <item n="Special" x="3"/>
        <item x="4"/>
        <item t="default"/>
      </items>
    </pivotField>
    <pivotField axis="axisRow" showAll="0" sortType="descending">
      <items count="24">
        <item h="1" sd="0" x="22"/>
        <item sd="0" x="0"/>
        <item sd="0" x="15"/>
        <item h="1" sd="0" x="21"/>
        <item sd="0" x="17"/>
        <item sd="0" x="10"/>
        <item sd="0" x="20"/>
        <item sd="0" x="7"/>
        <item sd="0" x="9"/>
        <item sd="0" x="2"/>
        <item sd="0" x="5"/>
        <item sd="0" x="4"/>
        <item sd="0" x="19"/>
        <item sd="0" x="14"/>
        <item sd="0" x="13"/>
        <item sd="0" x="11"/>
        <item sd="0" x="12"/>
        <item sd="0" x="6"/>
        <item sd="0" x="1"/>
        <item sd="0" x="3"/>
        <item sd="0" x="16"/>
        <item sd="0" x="18"/>
        <item sd="0" x="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9"/>
    <field x="8"/>
  </rowFields>
  <rowItems count="22">
    <i>
      <x v="1"/>
    </i>
    <i>
      <x v="17"/>
    </i>
    <i>
      <x v="15"/>
    </i>
    <i>
      <x v="2"/>
    </i>
    <i>
      <x v="22"/>
    </i>
    <i>
      <x v="10"/>
    </i>
    <i>
      <x v="18"/>
    </i>
    <i>
      <x v="14"/>
    </i>
    <i>
      <x v="19"/>
    </i>
    <i>
      <x v="13"/>
    </i>
    <i>
      <x v="20"/>
    </i>
    <i>
      <x v="21"/>
    </i>
    <i>
      <x v="5"/>
    </i>
    <i>
      <x v="9"/>
    </i>
    <i>
      <x v="8"/>
    </i>
    <i>
      <x v="12"/>
    </i>
    <i>
      <x v="7"/>
    </i>
    <i>
      <x v="11"/>
    </i>
    <i>
      <x v="6"/>
    </i>
    <i>
      <x v="4"/>
    </i>
    <i>
      <x v="16"/>
    </i>
    <i t="grand">
      <x/>
    </i>
  </rowItems>
  <colItems count="1">
    <i/>
  </colItems>
  <dataFields count="1">
    <dataField name="Sum of Revenue" fld="10" baseField="9" baseItem="1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6A85-9295-4E82-B024-CFF7BC66EFE5}">
  <dimension ref="A1:L101"/>
  <sheetViews>
    <sheetView workbookViewId="0">
      <selection activeCell="Q4" sqref="Q4"/>
    </sheetView>
  </sheetViews>
  <sheetFormatPr defaultRowHeight="15" x14ac:dyDescent="0.25"/>
  <cols>
    <col min="9" max="9" width="12.7109375" customWidth="1"/>
    <col min="10" max="10" width="1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5</v>
      </c>
      <c r="I1" t="s">
        <v>3</v>
      </c>
      <c r="J1" t="s">
        <v>6</v>
      </c>
      <c r="K1" t="s">
        <v>7</v>
      </c>
      <c r="L1" t="s">
        <v>8</v>
      </c>
    </row>
    <row r="2" spans="1:12" x14ac:dyDescent="0.25">
      <c r="A2">
        <v>2004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315044.33</v>
      </c>
    </row>
    <row r="3" spans="1:12" x14ac:dyDescent="0.25">
      <c r="A3">
        <v>2004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19</v>
      </c>
      <c r="L3">
        <v>14313.48</v>
      </c>
    </row>
    <row r="4" spans="1:12" x14ac:dyDescent="0.25">
      <c r="A4">
        <v>2004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20</v>
      </c>
      <c r="L4">
        <v>156644.47</v>
      </c>
    </row>
    <row r="5" spans="1:12" x14ac:dyDescent="0.25">
      <c r="A5">
        <v>2004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21</v>
      </c>
      <c r="L5">
        <v>59191.72</v>
      </c>
    </row>
    <row r="6" spans="1:12" x14ac:dyDescent="0.25">
      <c r="A6">
        <v>2004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22</v>
      </c>
      <c r="L6">
        <v>7029.33</v>
      </c>
    </row>
    <row r="7" spans="1:12" x14ac:dyDescent="0.25">
      <c r="A7">
        <v>2004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23</v>
      </c>
      <c r="L7">
        <v>52613.47</v>
      </c>
    </row>
    <row r="8" spans="1:12" x14ac:dyDescent="0.25">
      <c r="A8">
        <v>2004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24</v>
      </c>
      <c r="L8">
        <v>41912.85</v>
      </c>
    </row>
    <row r="9" spans="1:12" x14ac:dyDescent="0.25">
      <c r="A9">
        <v>2004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25</v>
      </c>
      <c r="L9">
        <v>59479.91</v>
      </c>
    </row>
    <row r="10" spans="1:12" x14ac:dyDescent="0.25">
      <c r="A10">
        <v>2004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26</v>
      </c>
      <c r="L10">
        <v>156324.28</v>
      </c>
    </row>
    <row r="11" spans="1:12" x14ac:dyDescent="0.25">
      <c r="A11">
        <v>2004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27</v>
      </c>
      <c r="L11">
        <v>23042.67</v>
      </c>
    </row>
    <row r="12" spans="1:12" x14ac:dyDescent="0.25">
      <c r="A12">
        <v>2004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28</v>
      </c>
      <c r="L12">
        <v>59479.91</v>
      </c>
    </row>
    <row r="13" spans="1:12" x14ac:dyDescent="0.25">
      <c r="A13">
        <v>2004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29</v>
      </c>
      <c r="L13">
        <v>66446.59</v>
      </c>
    </row>
    <row r="14" spans="1:12" x14ac:dyDescent="0.25">
      <c r="A14">
        <v>2004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t="s">
        <v>30</v>
      </c>
      <c r="L14">
        <v>13620.11</v>
      </c>
    </row>
    <row r="15" spans="1:12" x14ac:dyDescent="0.25">
      <c r="A15">
        <v>2004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t="s">
        <v>31</v>
      </c>
      <c r="L15">
        <v>77447.929999999993</v>
      </c>
    </row>
    <row r="16" spans="1:12" x14ac:dyDescent="0.25">
      <c r="A16">
        <v>2004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t="s">
        <v>32</v>
      </c>
      <c r="L16">
        <v>6615.84</v>
      </c>
    </row>
    <row r="17" spans="1:12" x14ac:dyDescent="0.25">
      <c r="A17">
        <v>2004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 t="s">
        <v>33</v>
      </c>
      <c r="L17">
        <v>62800.36</v>
      </c>
    </row>
    <row r="18" spans="1:12" x14ac:dyDescent="0.25">
      <c r="A18">
        <v>2004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  <c r="J18" t="s">
        <v>34</v>
      </c>
      <c r="L18">
        <v>52776.36</v>
      </c>
    </row>
    <row r="19" spans="1:12" x14ac:dyDescent="0.25">
      <c r="A19">
        <v>2004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35</v>
      </c>
      <c r="L19">
        <v>52519.3</v>
      </c>
    </row>
    <row r="20" spans="1:12" x14ac:dyDescent="0.25">
      <c r="A20">
        <v>2004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t="s">
        <v>36</v>
      </c>
      <c r="L20">
        <v>28405.51</v>
      </c>
    </row>
    <row r="21" spans="1:12" x14ac:dyDescent="0.25">
      <c r="A21">
        <v>2004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37</v>
      </c>
      <c r="L21">
        <v>59479.91</v>
      </c>
    </row>
    <row r="22" spans="1:12" x14ac:dyDescent="0.25">
      <c r="A22">
        <v>2004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t="s">
        <v>38</v>
      </c>
      <c r="L22">
        <v>42163.45</v>
      </c>
    </row>
    <row r="23" spans="1:12" x14ac:dyDescent="0.25">
      <c r="A23">
        <v>2004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39</v>
      </c>
      <c r="J23" t="s">
        <v>17</v>
      </c>
      <c r="K23" t="s">
        <v>18</v>
      </c>
      <c r="L23">
        <v>7367.64</v>
      </c>
    </row>
    <row r="24" spans="1:12" x14ac:dyDescent="0.25">
      <c r="A24">
        <v>2004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39</v>
      </c>
      <c r="J24" t="s">
        <v>19</v>
      </c>
      <c r="L24">
        <v>59404.73</v>
      </c>
    </row>
    <row r="25" spans="1:12" x14ac:dyDescent="0.25">
      <c r="A25">
        <v>2004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39</v>
      </c>
      <c r="J25" t="s">
        <v>20</v>
      </c>
      <c r="L25">
        <v>13620.11</v>
      </c>
    </row>
    <row r="26" spans="1:12" x14ac:dyDescent="0.25">
      <c r="A26">
        <v>2004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39</v>
      </c>
      <c r="J26" t="s">
        <v>21</v>
      </c>
      <c r="L26">
        <v>77447.929999999993</v>
      </c>
    </row>
    <row r="27" spans="1:12" x14ac:dyDescent="0.25">
      <c r="A27">
        <v>2004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39</v>
      </c>
      <c r="J27" t="s">
        <v>22</v>
      </c>
      <c r="L27">
        <v>6615.84</v>
      </c>
    </row>
    <row r="28" spans="1:12" x14ac:dyDescent="0.25">
      <c r="A28">
        <v>2004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39</v>
      </c>
      <c r="J28" t="s">
        <v>23</v>
      </c>
      <c r="L28">
        <v>62800.36</v>
      </c>
    </row>
    <row r="29" spans="1:12" x14ac:dyDescent="0.25">
      <c r="A29">
        <v>2004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39</v>
      </c>
      <c r="J29" t="s">
        <v>24</v>
      </c>
      <c r="L29">
        <v>52776.36</v>
      </c>
    </row>
    <row r="30" spans="1:12" x14ac:dyDescent="0.25">
      <c r="A30">
        <v>2004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39</v>
      </c>
      <c r="J30" t="s">
        <v>25</v>
      </c>
      <c r="L30">
        <v>52519.3</v>
      </c>
    </row>
    <row r="31" spans="1:12" x14ac:dyDescent="0.25">
      <c r="A31">
        <v>2004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39</v>
      </c>
      <c r="J31" t="s">
        <v>26</v>
      </c>
      <c r="L31">
        <v>28405.51</v>
      </c>
    </row>
    <row r="32" spans="1:12" x14ac:dyDescent="0.25">
      <c r="A32">
        <v>2004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39</v>
      </c>
      <c r="J32" t="s">
        <v>27</v>
      </c>
      <c r="L32">
        <v>59479.91</v>
      </c>
    </row>
    <row r="33" spans="1:12" x14ac:dyDescent="0.25">
      <c r="A33">
        <v>2004</v>
      </c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  <c r="I33" t="s">
        <v>39</v>
      </c>
      <c r="J33" t="s">
        <v>28</v>
      </c>
      <c r="L33">
        <v>62800.36</v>
      </c>
    </row>
    <row r="34" spans="1:12" x14ac:dyDescent="0.25">
      <c r="A34">
        <v>2004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39</v>
      </c>
      <c r="J34" t="s">
        <v>29</v>
      </c>
      <c r="L34">
        <v>72891.83</v>
      </c>
    </row>
    <row r="35" spans="1:12" x14ac:dyDescent="0.25">
      <c r="A35">
        <v>2004</v>
      </c>
      <c r="B35" t="s">
        <v>9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  <c r="I35" t="s">
        <v>39</v>
      </c>
      <c r="J35" t="s">
        <v>30</v>
      </c>
      <c r="L35">
        <v>12469.92</v>
      </c>
    </row>
    <row r="36" spans="1:12" x14ac:dyDescent="0.25">
      <c r="A36">
        <v>2004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t="s">
        <v>39</v>
      </c>
      <c r="J36" t="s">
        <v>31</v>
      </c>
      <c r="L36">
        <v>96009.15</v>
      </c>
    </row>
    <row r="37" spans="1:12" x14ac:dyDescent="0.25">
      <c r="A37">
        <v>2004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 t="s">
        <v>39</v>
      </c>
      <c r="J37" t="s">
        <v>32</v>
      </c>
      <c r="L37">
        <v>137602.28</v>
      </c>
    </row>
    <row r="38" spans="1:12" x14ac:dyDescent="0.25">
      <c r="A38">
        <v>2004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t="s">
        <v>39</v>
      </c>
      <c r="J38" t="s">
        <v>17</v>
      </c>
      <c r="K38" t="s">
        <v>33</v>
      </c>
      <c r="L38">
        <v>52776.36</v>
      </c>
    </row>
    <row r="39" spans="1:12" x14ac:dyDescent="0.25">
      <c r="A39">
        <v>2004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 t="s">
        <v>39</v>
      </c>
      <c r="J39" t="s">
        <v>34</v>
      </c>
      <c r="L39">
        <v>52519.3</v>
      </c>
    </row>
    <row r="40" spans="1:12" x14ac:dyDescent="0.25">
      <c r="A40">
        <v>2004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t="s">
        <v>39</v>
      </c>
      <c r="J40" t="s">
        <v>35</v>
      </c>
      <c r="L40">
        <v>28405.51</v>
      </c>
    </row>
    <row r="41" spans="1:12" x14ac:dyDescent="0.25">
      <c r="A41">
        <v>2004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39</v>
      </c>
      <c r="J41" t="s">
        <v>36</v>
      </c>
      <c r="L41">
        <v>59479.91</v>
      </c>
    </row>
    <row r="42" spans="1:12" x14ac:dyDescent="0.25">
      <c r="A42">
        <v>2004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t="s">
        <v>39</v>
      </c>
      <c r="J42" t="s">
        <v>37</v>
      </c>
      <c r="L42">
        <v>103089.33</v>
      </c>
    </row>
    <row r="43" spans="1:12" x14ac:dyDescent="0.25">
      <c r="A43">
        <v>2004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 t="s">
        <v>39</v>
      </c>
      <c r="J43" t="s">
        <v>38</v>
      </c>
      <c r="L43">
        <v>13036.14</v>
      </c>
    </row>
    <row r="44" spans="1:12" x14ac:dyDescent="0.25">
      <c r="A44">
        <v>2004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40</v>
      </c>
      <c r="J44" t="s">
        <v>17</v>
      </c>
      <c r="K44" t="s">
        <v>18</v>
      </c>
      <c r="L44">
        <v>340867.26</v>
      </c>
    </row>
    <row r="45" spans="1:12" x14ac:dyDescent="0.25">
      <c r="A45">
        <v>2004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 t="s">
        <v>40</v>
      </c>
      <c r="J45" t="s">
        <v>19</v>
      </c>
      <c r="L45">
        <v>171649.73</v>
      </c>
    </row>
    <row r="46" spans="1:12" x14ac:dyDescent="0.25">
      <c r="A46">
        <v>2004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t="s">
        <v>40</v>
      </c>
      <c r="J46" t="s">
        <v>20</v>
      </c>
      <c r="L46">
        <v>33964.86</v>
      </c>
    </row>
    <row r="47" spans="1:12" x14ac:dyDescent="0.25">
      <c r="A47">
        <v>2004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 t="s">
        <v>40</v>
      </c>
      <c r="J47" t="s">
        <v>21</v>
      </c>
      <c r="L47">
        <v>156433.42000000001</v>
      </c>
    </row>
    <row r="48" spans="1:12" x14ac:dyDescent="0.25">
      <c r="A48">
        <v>2004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40</v>
      </c>
      <c r="J48" t="s">
        <v>22</v>
      </c>
      <c r="L48">
        <v>81860.98</v>
      </c>
    </row>
    <row r="49" spans="1:12" x14ac:dyDescent="0.25">
      <c r="A49">
        <v>2004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40</v>
      </c>
      <c r="J49" t="s">
        <v>23</v>
      </c>
      <c r="L49">
        <v>98184.41</v>
      </c>
    </row>
    <row r="50" spans="1:12" x14ac:dyDescent="0.25">
      <c r="A50">
        <v>2004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40</v>
      </c>
      <c r="J50" t="s">
        <v>24</v>
      </c>
      <c r="L50">
        <v>348446.25</v>
      </c>
    </row>
    <row r="51" spans="1:12" x14ac:dyDescent="0.25">
      <c r="A51">
        <v>2004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 t="s">
        <v>40</v>
      </c>
      <c r="J51" t="s">
        <v>25</v>
      </c>
      <c r="L51">
        <v>18728.78</v>
      </c>
    </row>
    <row r="52" spans="1:12" x14ac:dyDescent="0.25">
      <c r="A52">
        <v>2004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40</v>
      </c>
      <c r="J52" t="s">
        <v>26</v>
      </c>
      <c r="L52">
        <v>156433.42000000001</v>
      </c>
    </row>
    <row r="53" spans="1:12" x14ac:dyDescent="0.25">
      <c r="A53">
        <v>2004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  <c r="I53" t="s">
        <v>40</v>
      </c>
      <c r="J53" t="s">
        <v>27</v>
      </c>
      <c r="L53">
        <v>81860.98</v>
      </c>
    </row>
    <row r="54" spans="1:12" x14ac:dyDescent="0.25">
      <c r="A54">
        <v>2004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t="s">
        <v>40</v>
      </c>
      <c r="J54" t="s">
        <v>28</v>
      </c>
      <c r="L54">
        <v>98184.41</v>
      </c>
    </row>
    <row r="55" spans="1:12" x14ac:dyDescent="0.25">
      <c r="A55">
        <v>2004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  <c r="I55" t="s">
        <v>40</v>
      </c>
      <c r="J55" t="s">
        <v>29</v>
      </c>
      <c r="L55">
        <v>348446.25</v>
      </c>
    </row>
    <row r="56" spans="1:12" x14ac:dyDescent="0.25">
      <c r="A56">
        <v>2004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t="s">
        <v>40</v>
      </c>
      <c r="J56" t="s">
        <v>30</v>
      </c>
      <c r="L56">
        <v>44093.69</v>
      </c>
    </row>
    <row r="57" spans="1:12" x14ac:dyDescent="0.25">
      <c r="A57">
        <v>2004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40</v>
      </c>
      <c r="J57" t="s">
        <v>31</v>
      </c>
      <c r="L57">
        <v>121196.69</v>
      </c>
    </row>
    <row r="58" spans="1:12" x14ac:dyDescent="0.25">
      <c r="A58">
        <v>2004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t="s">
        <v>40</v>
      </c>
      <c r="J58" t="s">
        <v>32</v>
      </c>
      <c r="L58">
        <v>74427.460000000006</v>
      </c>
    </row>
    <row r="59" spans="1:12" x14ac:dyDescent="0.25">
      <c r="A59">
        <v>2004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  <c r="I59" t="s">
        <v>40</v>
      </c>
      <c r="J59" t="s">
        <v>17</v>
      </c>
      <c r="K59" t="s">
        <v>33</v>
      </c>
      <c r="L59">
        <v>168290.41</v>
      </c>
    </row>
    <row r="60" spans="1:12" x14ac:dyDescent="0.25">
      <c r="A60">
        <v>2004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t="s">
        <v>40</v>
      </c>
      <c r="J60" t="s">
        <v>34</v>
      </c>
      <c r="L60">
        <v>56911.24</v>
      </c>
    </row>
    <row r="61" spans="1:12" x14ac:dyDescent="0.25">
      <c r="A61">
        <v>2004</v>
      </c>
      <c r="B61" t="s">
        <v>9</v>
      </c>
      <c r="C61" t="s">
        <v>10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  <c r="I61" t="s">
        <v>40</v>
      </c>
      <c r="J61" t="s">
        <v>35</v>
      </c>
      <c r="L61">
        <v>74427.460000000006</v>
      </c>
    </row>
    <row r="62" spans="1:12" x14ac:dyDescent="0.25">
      <c r="A62">
        <v>2004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t="s">
        <v>40</v>
      </c>
      <c r="J62" t="s">
        <v>36</v>
      </c>
      <c r="L62">
        <v>168290.41</v>
      </c>
    </row>
    <row r="63" spans="1:12" x14ac:dyDescent="0.25">
      <c r="A63">
        <v>2004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  <c r="I63" t="s">
        <v>40</v>
      </c>
      <c r="J63" t="s">
        <v>37</v>
      </c>
      <c r="L63">
        <v>13707.2</v>
      </c>
    </row>
    <row r="64" spans="1:12" x14ac:dyDescent="0.25">
      <c r="A64">
        <v>2004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t="s">
        <v>40</v>
      </c>
      <c r="J64" t="s">
        <v>38</v>
      </c>
      <c r="L64">
        <v>127219.95</v>
      </c>
    </row>
    <row r="65" spans="1:12" x14ac:dyDescent="0.25">
      <c r="A65">
        <v>2004</v>
      </c>
      <c r="B65" t="s">
        <v>9</v>
      </c>
      <c r="C65" t="s">
        <v>10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  <c r="I65" t="s">
        <v>41</v>
      </c>
      <c r="J65" t="s">
        <v>17</v>
      </c>
      <c r="L65">
        <v>74427.460000000006</v>
      </c>
    </row>
    <row r="66" spans="1:12" x14ac:dyDescent="0.25">
      <c r="A66">
        <v>2004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t="s">
        <v>41</v>
      </c>
      <c r="J66" t="s">
        <v>19</v>
      </c>
      <c r="L66">
        <v>168290.41</v>
      </c>
    </row>
    <row r="67" spans="1:12" x14ac:dyDescent="0.25">
      <c r="A67">
        <v>2004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  <c r="I67" t="s">
        <v>41</v>
      </c>
      <c r="J67" t="s">
        <v>20</v>
      </c>
      <c r="L67">
        <v>27842.75</v>
      </c>
    </row>
    <row r="68" spans="1:12" x14ac:dyDescent="0.25">
      <c r="A68">
        <v>2004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t="s">
        <v>41</v>
      </c>
      <c r="J68" t="s">
        <v>21</v>
      </c>
      <c r="L68">
        <v>52613.47</v>
      </c>
    </row>
    <row r="69" spans="1:12" x14ac:dyDescent="0.25">
      <c r="A69">
        <v>2004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  <c r="I69" t="s">
        <v>41</v>
      </c>
      <c r="J69" t="s">
        <v>22</v>
      </c>
      <c r="L69">
        <v>41912.85</v>
      </c>
    </row>
    <row r="70" spans="1:12" x14ac:dyDescent="0.25">
      <c r="A70">
        <v>2004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t="s">
        <v>41</v>
      </c>
      <c r="J70" t="s">
        <v>23</v>
      </c>
      <c r="L70">
        <v>59479.91</v>
      </c>
    </row>
    <row r="71" spans="1:12" x14ac:dyDescent="0.25">
      <c r="A71">
        <v>2004</v>
      </c>
      <c r="B71" t="s">
        <v>9</v>
      </c>
      <c r="C71" t="s">
        <v>10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  <c r="I71" t="s">
        <v>41</v>
      </c>
      <c r="J71" t="s">
        <v>24</v>
      </c>
      <c r="L71">
        <v>156324.28</v>
      </c>
    </row>
    <row r="72" spans="1:12" x14ac:dyDescent="0.25">
      <c r="A72">
        <v>2004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t="s">
        <v>41</v>
      </c>
      <c r="J72" t="s">
        <v>25</v>
      </c>
      <c r="L72">
        <v>23042.67</v>
      </c>
    </row>
    <row r="73" spans="1:12" x14ac:dyDescent="0.25">
      <c r="A73">
        <v>2004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  <c r="I73" t="s">
        <v>41</v>
      </c>
      <c r="J73" t="s">
        <v>26</v>
      </c>
      <c r="L73">
        <v>59479.91</v>
      </c>
    </row>
    <row r="74" spans="1:12" x14ac:dyDescent="0.25">
      <c r="A74">
        <v>2004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t="s">
        <v>41</v>
      </c>
      <c r="J74" t="s">
        <v>27</v>
      </c>
      <c r="L74">
        <v>66446.59</v>
      </c>
    </row>
    <row r="75" spans="1:12" x14ac:dyDescent="0.25">
      <c r="A75">
        <v>2004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  <c r="I75" t="s">
        <v>41</v>
      </c>
      <c r="J75" t="s">
        <v>28</v>
      </c>
      <c r="L75">
        <v>13620.11</v>
      </c>
    </row>
    <row r="76" spans="1:12" x14ac:dyDescent="0.25">
      <c r="A76">
        <v>2004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t="s">
        <v>41</v>
      </c>
      <c r="J76" t="s">
        <v>29</v>
      </c>
      <c r="L76">
        <v>77447.929999999993</v>
      </c>
    </row>
    <row r="77" spans="1:12" x14ac:dyDescent="0.25">
      <c r="A77">
        <v>2004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  <c r="I77" t="s">
        <v>41</v>
      </c>
      <c r="J77" t="s">
        <v>30</v>
      </c>
      <c r="L77">
        <v>6615.84</v>
      </c>
    </row>
    <row r="78" spans="1:12" x14ac:dyDescent="0.25">
      <c r="A78">
        <v>2004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t="s">
        <v>41</v>
      </c>
      <c r="J78" t="s">
        <v>31</v>
      </c>
      <c r="L78">
        <v>52613.47</v>
      </c>
    </row>
    <row r="79" spans="1:12" x14ac:dyDescent="0.25">
      <c r="A79">
        <v>2004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  <c r="I79" t="s">
        <v>41</v>
      </c>
      <c r="J79" t="s">
        <v>32</v>
      </c>
      <c r="L79">
        <v>41912.85</v>
      </c>
    </row>
    <row r="80" spans="1:12" x14ac:dyDescent="0.25">
      <c r="A80">
        <v>2004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t="s">
        <v>41</v>
      </c>
      <c r="J80" t="s">
        <v>17</v>
      </c>
      <c r="K80" t="s">
        <v>33</v>
      </c>
      <c r="L80">
        <v>59479.91</v>
      </c>
    </row>
    <row r="81" spans="1:12" x14ac:dyDescent="0.25">
      <c r="A81">
        <v>2004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  <c r="I81" t="s">
        <v>41</v>
      </c>
      <c r="J81" t="s">
        <v>34</v>
      </c>
      <c r="L81">
        <v>156324.28</v>
      </c>
    </row>
    <row r="82" spans="1:12" x14ac:dyDescent="0.25">
      <c r="A82">
        <v>2004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t="s">
        <v>41</v>
      </c>
      <c r="J82" t="s">
        <v>35</v>
      </c>
      <c r="L82">
        <v>23042.67</v>
      </c>
    </row>
    <row r="83" spans="1:12" x14ac:dyDescent="0.25">
      <c r="A83">
        <v>2004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  <c r="I83" t="s">
        <v>41</v>
      </c>
      <c r="J83" t="s">
        <v>36</v>
      </c>
      <c r="L83">
        <v>59479.91</v>
      </c>
    </row>
    <row r="84" spans="1:12" x14ac:dyDescent="0.25">
      <c r="A84">
        <v>2004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t="s">
        <v>41</v>
      </c>
      <c r="J84" t="s">
        <v>37</v>
      </c>
      <c r="L84">
        <v>66446.59</v>
      </c>
    </row>
    <row r="85" spans="1:12" x14ac:dyDescent="0.25">
      <c r="A85">
        <v>2004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  <c r="I85" t="s">
        <v>41</v>
      </c>
      <c r="J85" t="s">
        <v>38</v>
      </c>
      <c r="L85">
        <v>13620.11</v>
      </c>
    </row>
    <row r="86" spans="1:12" x14ac:dyDescent="0.25">
      <c r="A86">
        <v>2004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t="s">
        <v>42</v>
      </c>
      <c r="J86" t="s">
        <v>17</v>
      </c>
      <c r="K86" t="s">
        <v>18</v>
      </c>
      <c r="L86">
        <v>77447.929999999993</v>
      </c>
    </row>
    <row r="87" spans="1:12" x14ac:dyDescent="0.25">
      <c r="A87">
        <v>2004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  <c r="I87" t="s">
        <v>42</v>
      </c>
      <c r="J87" t="s">
        <v>19</v>
      </c>
      <c r="L87">
        <v>6615.84</v>
      </c>
    </row>
    <row r="88" spans="1:12" x14ac:dyDescent="0.25">
      <c r="A88">
        <v>2004</v>
      </c>
      <c r="B88" t="s">
        <v>9</v>
      </c>
      <c r="C88" t="s">
        <v>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t="s">
        <v>42</v>
      </c>
      <c r="J88" t="s">
        <v>20</v>
      </c>
      <c r="L88">
        <v>52613.47</v>
      </c>
    </row>
    <row r="89" spans="1:12" x14ac:dyDescent="0.25">
      <c r="A89">
        <v>2004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  <c r="I89" t="s">
        <v>42</v>
      </c>
      <c r="J89" t="s">
        <v>21</v>
      </c>
      <c r="L89">
        <v>41912.85</v>
      </c>
    </row>
    <row r="90" spans="1:12" x14ac:dyDescent="0.25">
      <c r="A90">
        <v>2004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t="s">
        <v>42</v>
      </c>
      <c r="J90" t="s">
        <v>22</v>
      </c>
      <c r="L90">
        <v>59479.91</v>
      </c>
    </row>
    <row r="91" spans="1:12" x14ac:dyDescent="0.25">
      <c r="A91">
        <v>2004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  <c r="I91" t="s">
        <v>42</v>
      </c>
      <c r="J91" t="s">
        <v>23</v>
      </c>
      <c r="L91">
        <v>156324.28</v>
      </c>
    </row>
    <row r="92" spans="1:12" x14ac:dyDescent="0.25">
      <c r="A92">
        <v>2004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t="s">
        <v>42</v>
      </c>
      <c r="J92" t="s">
        <v>24</v>
      </c>
      <c r="L92">
        <v>23042.67</v>
      </c>
    </row>
    <row r="93" spans="1:12" x14ac:dyDescent="0.25">
      <c r="A93">
        <v>2004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  <c r="I93" t="s">
        <v>42</v>
      </c>
      <c r="J93" t="s">
        <v>25</v>
      </c>
      <c r="L93">
        <v>59479.91</v>
      </c>
    </row>
    <row r="94" spans="1:12" x14ac:dyDescent="0.25">
      <c r="A94">
        <v>2004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t="s">
        <v>42</v>
      </c>
      <c r="J94" t="s">
        <v>26</v>
      </c>
      <c r="L94">
        <v>66446.59</v>
      </c>
    </row>
    <row r="95" spans="1:12" x14ac:dyDescent="0.25">
      <c r="A95">
        <v>2004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  <c r="I95" t="s">
        <v>42</v>
      </c>
      <c r="J95" t="s">
        <v>27</v>
      </c>
      <c r="L95">
        <v>13620.11</v>
      </c>
    </row>
    <row r="96" spans="1:12" x14ac:dyDescent="0.25">
      <c r="A96">
        <v>2004</v>
      </c>
      <c r="B96" t="s">
        <v>9</v>
      </c>
      <c r="C96" t="s">
        <v>10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t="s">
        <v>42</v>
      </c>
      <c r="J96" t="s">
        <v>28</v>
      </c>
      <c r="L96">
        <v>77447.929999999993</v>
      </c>
    </row>
    <row r="97" spans="1:12" x14ac:dyDescent="0.25">
      <c r="A97">
        <v>2004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  <c r="I97" t="s">
        <v>42</v>
      </c>
      <c r="J97" t="s">
        <v>29</v>
      </c>
      <c r="L97">
        <v>6615.84</v>
      </c>
    </row>
    <row r="98" spans="1:12" x14ac:dyDescent="0.25">
      <c r="A98">
        <v>2004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t="s">
        <v>42</v>
      </c>
      <c r="J98" t="s">
        <v>30</v>
      </c>
      <c r="L98">
        <v>52613.47</v>
      </c>
    </row>
    <row r="99" spans="1:12" x14ac:dyDescent="0.25">
      <c r="A99">
        <v>2004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  <c r="I99" t="s">
        <v>42</v>
      </c>
      <c r="J99" t="s">
        <v>31</v>
      </c>
      <c r="L99">
        <v>41912.85</v>
      </c>
    </row>
    <row r="100" spans="1:12" x14ac:dyDescent="0.25">
      <c r="A100">
        <v>2004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t="s">
        <v>42</v>
      </c>
      <c r="J100" t="s">
        <v>32</v>
      </c>
      <c r="L100">
        <v>59479.91</v>
      </c>
    </row>
    <row r="101" spans="1:12" x14ac:dyDescent="0.25">
      <c r="A101">
        <v>2004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  <c r="I101" t="s">
        <v>42</v>
      </c>
      <c r="J101" t="s">
        <v>17</v>
      </c>
      <c r="K101" t="s">
        <v>33</v>
      </c>
      <c r="L101">
        <v>156324.28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9A28-9942-464C-9AE1-4F331C7DD25D}">
  <dimension ref="A1:Q101"/>
  <sheetViews>
    <sheetView tabSelected="1" workbookViewId="0">
      <selection activeCell="N15" sqref="N15"/>
    </sheetView>
  </sheetViews>
  <sheetFormatPr defaultRowHeight="15" x14ac:dyDescent="0.25"/>
  <cols>
    <col min="1" max="2" width="9.7109375" customWidth="1"/>
    <col min="3" max="3" width="10.85546875" customWidth="1"/>
    <col min="4" max="8" width="9.7109375" customWidth="1"/>
    <col min="9" max="9" width="11.28515625" customWidth="1"/>
    <col min="10" max="10" width="15.140625" bestFit="1" customWidth="1"/>
    <col min="11" max="11" width="9.7109375" customWidth="1"/>
    <col min="13" max="13" width="15.140625" customWidth="1"/>
    <col min="14" max="14" width="9.5703125" bestFit="1" customWidth="1"/>
    <col min="16" max="16" width="9.5703125" bestFit="1" customWidth="1"/>
  </cols>
  <sheetData>
    <row r="1" spans="1:17" s="2" customFormat="1" x14ac:dyDescent="0.25">
      <c r="A1" s="2" t="s">
        <v>0</v>
      </c>
      <c r="B1" s="2" t="s">
        <v>1</v>
      </c>
      <c r="C1" s="2" t="s">
        <v>43</v>
      </c>
      <c r="D1" s="2" t="s">
        <v>1</v>
      </c>
      <c r="E1" s="2" t="s">
        <v>44</v>
      </c>
      <c r="F1" s="2" t="s">
        <v>1</v>
      </c>
      <c r="G1" s="2" t="s">
        <v>4</v>
      </c>
      <c r="H1" s="2" t="s">
        <v>45</v>
      </c>
      <c r="I1" s="2" t="s">
        <v>44</v>
      </c>
      <c r="J1" s="2" t="s">
        <v>46</v>
      </c>
      <c r="K1" s="2" t="s">
        <v>8</v>
      </c>
      <c r="L1" s="3"/>
      <c r="M1" s="3"/>
      <c r="N1" s="2" t="s">
        <v>54</v>
      </c>
      <c r="O1" s="2" t="s">
        <v>55</v>
      </c>
      <c r="P1" s="2" t="s">
        <v>56</v>
      </c>
      <c r="Q1" s="2" t="s">
        <v>57</v>
      </c>
    </row>
    <row r="2" spans="1:17" x14ac:dyDescent="0.25">
      <c r="A2" t="s">
        <v>52</v>
      </c>
      <c r="B2" t="s">
        <v>9</v>
      </c>
      <c r="C2" t="s">
        <v>10</v>
      </c>
      <c r="D2" t="s">
        <v>11</v>
      </c>
      <c r="E2" t="s">
        <v>12</v>
      </c>
      <c r="F2" t="str">
        <f>CONCATENATE("Trail", " ", "Chef")</f>
        <v>Trail Chef</v>
      </c>
      <c r="G2" t="s">
        <v>14</v>
      </c>
      <c r="H2" t="s">
        <v>15</v>
      </c>
      <c r="I2" t="s">
        <v>16</v>
      </c>
      <c r="J2" t="s">
        <v>47</v>
      </c>
      <c r="K2">
        <v>315044.33</v>
      </c>
      <c r="M2" t="s">
        <v>16</v>
      </c>
      <c r="N2">
        <f>SUM(K2:K22)</f>
        <v>1407351.7800000003</v>
      </c>
      <c r="O2">
        <f>MIN(K2:K22)</f>
        <v>6615.84</v>
      </c>
      <c r="P2" s="6">
        <f>MAX(K2:K22)</f>
        <v>315044.33</v>
      </c>
      <c r="Q2">
        <f>MODE(K2:K101)</f>
        <v>59479.91</v>
      </c>
    </row>
    <row r="3" spans="1:17" x14ac:dyDescent="0.25">
      <c r="A3" t="s">
        <v>52</v>
      </c>
      <c r="B3" t="s">
        <v>9</v>
      </c>
      <c r="C3" t="s">
        <v>10</v>
      </c>
      <c r="D3" t="s">
        <v>11</v>
      </c>
      <c r="E3" t="s">
        <v>12</v>
      </c>
      <c r="F3" t="str">
        <f t="shared" ref="F3:F66" si="0">CONCATENATE("Trail", " ", "Chef")</f>
        <v>Trail Chef</v>
      </c>
      <c r="G3" t="s">
        <v>14</v>
      </c>
      <c r="H3" t="s">
        <v>15</v>
      </c>
      <c r="I3" t="s">
        <v>16</v>
      </c>
      <c r="J3" t="s">
        <v>19</v>
      </c>
      <c r="K3">
        <v>14313.48</v>
      </c>
      <c r="M3" t="s">
        <v>53</v>
      </c>
      <c r="N3">
        <f>SUM(K23:K43)</f>
        <v>1111517.78</v>
      </c>
      <c r="O3">
        <f>MIN(K23:K43)</f>
        <v>6615.84</v>
      </c>
      <c r="P3" s="6">
        <f>MAX(K23:K43)</f>
        <v>137602.28</v>
      </c>
      <c r="Q3">
        <f>MODE(K23:K43)</f>
        <v>62800.36</v>
      </c>
    </row>
    <row r="4" spans="1:17" x14ac:dyDescent="0.25">
      <c r="A4" t="s">
        <v>52</v>
      </c>
      <c r="B4" t="s">
        <v>9</v>
      </c>
      <c r="C4" t="s">
        <v>10</v>
      </c>
      <c r="D4" t="s">
        <v>11</v>
      </c>
      <c r="E4" t="s">
        <v>12</v>
      </c>
      <c r="F4" t="str">
        <f t="shared" si="0"/>
        <v>Trail Chef</v>
      </c>
      <c r="G4" t="s">
        <v>14</v>
      </c>
      <c r="H4" t="s">
        <v>15</v>
      </c>
      <c r="I4" t="s">
        <v>16</v>
      </c>
      <c r="J4" t="s">
        <v>20</v>
      </c>
      <c r="K4">
        <v>156644.47</v>
      </c>
      <c r="M4" t="s">
        <v>40</v>
      </c>
      <c r="N4">
        <f>SUM(K44:K64)</f>
        <v>2783625.2600000007</v>
      </c>
      <c r="O4" s="6">
        <f>MIN(K44:K64)</f>
        <v>13707.2</v>
      </c>
      <c r="P4" s="6">
        <f>MAX(K44:K64)</f>
        <v>348446.25</v>
      </c>
      <c r="Q4">
        <f>MODE(K44:K64)</f>
        <v>156433.42000000001</v>
      </c>
    </row>
    <row r="5" spans="1:17" x14ac:dyDescent="0.25">
      <c r="A5" t="s">
        <v>52</v>
      </c>
      <c r="B5" t="s">
        <v>9</v>
      </c>
      <c r="C5" t="s">
        <v>10</v>
      </c>
      <c r="D5" t="s">
        <v>11</v>
      </c>
      <c r="E5" t="s">
        <v>12</v>
      </c>
      <c r="F5" t="str">
        <f t="shared" si="0"/>
        <v>Trail Chef</v>
      </c>
      <c r="G5" t="s">
        <v>14</v>
      </c>
      <c r="H5" t="s">
        <v>15</v>
      </c>
      <c r="I5" t="s">
        <v>16</v>
      </c>
      <c r="J5" t="s">
        <v>21</v>
      </c>
      <c r="K5">
        <v>59191.72</v>
      </c>
      <c r="M5" t="s">
        <v>41</v>
      </c>
      <c r="N5">
        <f>SUM(K65:K85)</f>
        <v>1300463.97</v>
      </c>
      <c r="O5">
        <f>MIN(K65:K85)</f>
        <v>6615.84</v>
      </c>
      <c r="P5" s="6">
        <f>MAX(K65:K85)</f>
        <v>168290.41</v>
      </c>
      <c r="Q5">
        <f>MODE(K65:K85)</f>
        <v>59479.91</v>
      </c>
    </row>
    <row r="6" spans="1:17" x14ac:dyDescent="0.25">
      <c r="A6" t="s">
        <v>52</v>
      </c>
      <c r="B6" t="s">
        <v>9</v>
      </c>
      <c r="C6" t="s">
        <v>10</v>
      </c>
      <c r="D6" t="s">
        <v>11</v>
      </c>
      <c r="E6" t="s">
        <v>12</v>
      </c>
      <c r="F6" t="str">
        <f t="shared" si="0"/>
        <v>Trail Chef</v>
      </c>
      <c r="G6" t="s">
        <v>14</v>
      </c>
      <c r="H6" t="s">
        <v>15</v>
      </c>
      <c r="I6" t="s">
        <v>16</v>
      </c>
      <c r="J6" t="s">
        <v>22</v>
      </c>
      <c r="K6">
        <v>7029.33</v>
      </c>
      <c r="M6" t="s">
        <v>42</v>
      </c>
      <c r="N6" s="6">
        <f>SUM(K86:K101)</f>
        <v>951377.84</v>
      </c>
      <c r="O6">
        <f>MIN(K86:K101)</f>
        <v>6615.84</v>
      </c>
      <c r="P6" s="6">
        <f>MAX(K86:K101)</f>
        <v>156324.28</v>
      </c>
      <c r="Q6">
        <f>MODE(K86:K101)</f>
        <v>59479.91</v>
      </c>
    </row>
    <row r="7" spans="1:17" x14ac:dyDescent="0.25">
      <c r="A7" t="s">
        <v>52</v>
      </c>
      <c r="B7" t="s">
        <v>9</v>
      </c>
      <c r="C7" t="s">
        <v>10</v>
      </c>
      <c r="D7" t="s">
        <v>11</v>
      </c>
      <c r="E7" t="s">
        <v>12</v>
      </c>
      <c r="F7" t="str">
        <f t="shared" si="0"/>
        <v>Trail Chef</v>
      </c>
      <c r="G7" t="s">
        <v>14</v>
      </c>
      <c r="H7" t="s">
        <v>15</v>
      </c>
      <c r="I7" t="s">
        <v>16</v>
      </c>
      <c r="J7" t="s">
        <v>23</v>
      </c>
      <c r="K7">
        <v>52613.47</v>
      </c>
    </row>
    <row r="8" spans="1:17" x14ac:dyDescent="0.25">
      <c r="A8" t="s">
        <v>52</v>
      </c>
      <c r="B8" t="s">
        <v>9</v>
      </c>
      <c r="C8" t="s">
        <v>10</v>
      </c>
      <c r="D8" t="s">
        <v>11</v>
      </c>
      <c r="E8" t="s">
        <v>12</v>
      </c>
      <c r="F8" t="str">
        <f t="shared" si="0"/>
        <v>Trail Chef</v>
      </c>
      <c r="G8" t="s">
        <v>14</v>
      </c>
      <c r="H8" t="s">
        <v>15</v>
      </c>
      <c r="I8" t="s">
        <v>16</v>
      </c>
      <c r="J8" t="s">
        <v>24</v>
      </c>
      <c r="K8">
        <v>41912.85</v>
      </c>
    </row>
    <row r="9" spans="1:17" x14ac:dyDescent="0.25">
      <c r="A9" t="s">
        <v>52</v>
      </c>
      <c r="B9" t="s">
        <v>9</v>
      </c>
      <c r="C9" t="s">
        <v>10</v>
      </c>
      <c r="D9" t="s">
        <v>11</v>
      </c>
      <c r="E9" t="s">
        <v>12</v>
      </c>
      <c r="F9" t="str">
        <f t="shared" si="0"/>
        <v>Trail Chef</v>
      </c>
      <c r="G9" t="s">
        <v>14</v>
      </c>
      <c r="H9" t="s">
        <v>15</v>
      </c>
      <c r="I9" t="s">
        <v>16</v>
      </c>
      <c r="J9" t="s">
        <v>25</v>
      </c>
      <c r="K9">
        <v>59479.91</v>
      </c>
    </row>
    <row r="10" spans="1:17" x14ac:dyDescent="0.25">
      <c r="A10" t="s">
        <v>52</v>
      </c>
      <c r="B10" t="s">
        <v>9</v>
      </c>
      <c r="C10" t="s">
        <v>10</v>
      </c>
      <c r="D10" t="s">
        <v>11</v>
      </c>
      <c r="E10" t="s">
        <v>12</v>
      </c>
      <c r="F10" t="str">
        <f t="shared" si="0"/>
        <v>Trail Chef</v>
      </c>
      <c r="G10" t="s">
        <v>14</v>
      </c>
      <c r="H10" t="s">
        <v>15</v>
      </c>
      <c r="I10" t="s">
        <v>16</v>
      </c>
      <c r="J10" t="s">
        <v>26</v>
      </c>
      <c r="K10">
        <v>156324.28</v>
      </c>
    </row>
    <row r="11" spans="1:17" x14ac:dyDescent="0.25">
      <c r="A11" t="s">
        <v>52</v>
      </c>
      <c r="B11" t="s">
        <v>9</v>
      </c>
      <c r="C11" t="s">
        <v>10</v>
      </c>
      <c r="D11" t="s">
        <v>11</v>
      </c>
      <c r="E11" t="s">
        <v>12</v>
      </c>
      <c r="F11" t="str">
        <f t="shared" si="0"/>
        <v>Trail Chef</v>
      </c>
      <c r="G11" t="s">
        <v>14</v>
      </c>
      <c r="H11" t="s">
        <v>15</v>
      </c>
      <c r="I11" t="s">
        <v>16</v>
      </c>
      <c r="J11" t="s">
        <v>27</v>
      </c>
      <c r="K11">
        <v>23042.67</v>
      </c>
    </row>
    <row r="12" spans="1:17" x14ac:dyDescent="0.25">
      <c r="A12" t="s">
        <v>52</v>
      </c>
      <c r="B12" t="s">
        <v>9</v>
      </c>
      <c r="C12" t="s">
        <v>10</v>
      </c>
      <c r="D12" t="s">
        <v>11</v>
      </c>
      <c r="E12" t="s">
        <v>12</v>
      </c>
      <c r="F12" t="str">
        <f t="shared" si="0"/>
        <v>Trail Chef</v>
      </c>
      <c r="G12" t="s">
        <v>14</v>
      </c>
      <c r="H12" t="s">
        <v>15</v>
      </c>
      <c r="I12" t="s">
        <v>16</v>
      </c>
      <c r="J12" t="s">
        <v>28</v>
      </c>
      <c r="K12">
        <v>59479.91</v>
      </c>
    </row>
    <row r="13" spans="1:17" x14ac:dyDescent="0.25">
      <c r="A13" t="s">
        <v>52</v>
      </c>
      <c r="B13" t="s">
        <v>9</v>
      </c>
      <c r="C13" t="s">
        <v>10</v>
      </c>
      <c r="D13" t="s">
        <v>11</v>
      </c>
      <c r="E13" t="s">
        <v>12</v>
      </c>
      <c r="F13" t="str">
        <f t="shared" si="0"/>
        <v>Trail Chef</v>
      </c>
      <c r="G13" t="s">
        <v>14</v>
      </c>
      <c r="H13" t="s">
        <v>15</v>
      </c>
      <c r="I13" t="s">
        <v>16</v>
      </c>
      <c r="J13" t="s">
        <v>29</v>
      </c>
      <c r="K13">
        <v>66446.59</v>
      </c>
    </row>
    <row r="14" spans="1:17" x14ac:dyDescent="0.25">
      <c r="A14" t="s">
        <v>52</v>
      </c>
      <c r="B14" t="s">
        <v>9</v>
      </c>
      <c r="C14" t="s">
        <v>10</v>
      </c>
      <c r="D14" t="s">
        <v>11</v>
      </c>
      <c r="E14" t="s">
        <v>12</v>
      </c>
      <c r="F14" t="str">
        <f t="shared" si="0"/>
        <v>Trail Chef</v>
      </c>
      <c r="G14" t="s">
        <v>14</v>
      </c>
      <c r="H14" t="s">
        <v>15</v>
      </c>
      <c r="I14" t="s">
        <v>16</v>
      </c>
      <c r="J14" t="s">
        <v>30</v>
      </c>
      <c r="K14">
        <v>13620.11</v>
      </c>
    </row>
    <row r="15" spans="1:17" x14ac:dyDescent="0.25">
      <c r="A15" t="s">
        <v>52</v>
      </c>
      <c r="B15" t="s">
        <v>9</v>
      </c>
      <c r="C15" t="s">
        <v>10</v>
      </c>
      <c r="D15" t="s">
        <v>11</v>
      </c>
      <c r="E15" t="s">
        <v>12</v>
      </c>
      <c r="F15" t="str">
        <f t="shared" si="0"/>
        <v>Trail Chef</v>
      </c>
      <c r="G15" t="s">
        <v>14</v>
      </c>
      <c r="H15" t="s">
        <v>15</v>
      </c>
      <c r="I15" t="s">
        <v>16</v>
      </c>
      <c r="J15" t="s">
        <v>31</v>
      </c>
      <c r="K15">
        <v>77447.929999999993</v>
      </c>
    </row>
    <row r="16" spans="1:17" x14ac:dyDescent="0.25">
      <c r="A16" t="s">
        <v>52</v>
      </c>
      <c r="B16" t="s">
        <v>9</v>
      </c>
      <c r="C16" t="s">
        <v>10</v>
      </c>
      <c r="D16" t="s">
        <v>11</v>
      </c>
      <c r="E16" t="s">
        <v>12</v>
      </c>
      <c r="F16" t="str">
        <f t="shared" si="0"/>
        <v>Trail Chef</v>
      </c>
      <c r="G16" t="s">
        <v>14</v>
      </c>
      <c r="H16" t="s">
        <v>15</v>
      </c>
      <c r="I16" t="s">
        <v>16</v>
      </c>
      <c r="J16" t="s">
        <v>32</v>
      </c>
      <c r="K16">
        <v>6615.84</v>
      </c>
    </row>
    <row r="17" spans="1:11" x14ac:dyDescent="0.25">
      <c r="A17" t="s">
        <v>52</v>
      </c>
      <c r="B17" t="s">
        <v>9</v>
      </c>
      <c r="C17" t="s">
        <v>10</v>
      </c>
      <c r="D17" t="s">
        <v>11</v>
      </c>
      <c r="E17" t="s">
        <v>12</v>
      </c>
      <c r="F17" t="str">
        <f t="shared" si="0"/>
        <v>Trail Chef</v>
      </c>
      <c r="G17" t="s">
        <v>14</v>
      </c>
      <c r="H17" t="s">
        <v>15</v>
      </c>
      <c r="I17" t="s">
        <v>16</v>
      </c>
      <c r="J17" t="s">
        <v>48</v>
      </c>
      <c r="K17">
        <v>62800.36</v>
      </c>
    </row>
    <row r="18" spans="1:11" x14ac:dyDescent="0.25">
      <c r="A18" t="s">
        <v>52</v>
      </c>
      <c r="B18" t="s">
        <v>9</v>
      </c>
      <c r="C18" t="s">
        <v>10</v>
      </c>
      <c r="D18" t="s">
        <v>11</v>
      </c>
      <c r="E18" t="s">
        <v>12</v>
      </c>
      <c r="F18" t="str">
        <f t="shared" si="0"/>
        <v>Trail Chef</v>
      </c>
      <c r="G18" t="s">
        <v>14</v>
      </c>
      <c r="H18" t="s">
        <v>15</v>
      </c>
      <c r="I18" t="s">
        <v>16</v>
      </c>
      <c r="J18" t="s">
        <v>34</v>
      </c>
      <c r="K18">
        <v>52776.36</v>
      </c>
    </row>
    <row r="19" spans="1:11" x14ac:dyDescent="0.25">
      <c r="A19" t="s">
        <v>52</v>
      </c>
      <c r="B19" t="s">
        <v>9</v>
      </c>
      <c r="C19" t="s">
        <v>10</v>
      </c>
      <c r="D19" t="s">
        <v>11</v>
      </c>
      <c r="E19" t="s">
        <v>12</v>
      </c>
      <c r="F19" t="str">
        <f t="shared" si="0"/>
        <v>Trail Chef</v>
      </c>
      <c r="G19" t="s">
        <v>14</v>
      </c>
      <c r="H19" t="s">
        <v>15</v>
      </c>
      <c r="I19" t="s">
        <v>16</v>
      </c>
      <c r="J19" t="s">
        <v>35</v>
      </c>
      <c r="K19">
        <v>52519.3</v>
      </c>
    </row>
    <row r="20" spans="1:11" x14ac:dyDescent="0.25">
      <c r="A20" t="s">
        <v>52</v>
      </c>
      <c r="B20" t="s">
        <v>9</v>
      </c>
      <c r="C20" t="s">
        <v>10</v>
      </c>
      <c r="D20" t="s">
        <v>11</v>
      </c>
      <c r="E20" t="s">
        <v>12</v>
      </c>
      <c r="F20" t="str">
        <f t="shared" si="0"/>
        <v>Trail Chef</v>
      </c>
      <c r="G20" t="s">
        <v>14</v>
      </c>
      <c r="H20" t="s">
        <v>15</v>
      </c>
      <c r="I20" t="s">
        <v>16</v>
      </c>
      <c r="J20" t="s">
        <v>36</v>
      </c>
      <c r="K20">
        <v>28405.51</v>
      </c>
    </row>
    <row r="21" spans="1:11" x14ac:dyDescent="0.25">
      <c r="A21" t="s">
        <v>52</v>
      </c>
      <c r="B21" t="s">
        <v>9</v>
      </c>
      <c r="C21" t="s">
        <v>10</v>
      </c>
      <c r="D21" t="s">
        <v>11</v>
      </c>
      <c r="E21" t="s">
        <v>12</v>
      </c>
      <c r="F21" t="str">
        <f t="shared" si="0"/>
        <v>Trail Chef</v>
      </c>
      <c r="G21" t="s">
        <v>14</v>
      </c>
      <c r="H21" t="s">
        <v>15</v>
      </c>
      <c r="I21" t="s">
        <v>16</v>
      </c>
      <c r="J21" t="s">
        <v>37</v>
      </c>
      <c r="K21">
        <v>59479.91</v>
      </c>
    </row>
    <row r="22" spans="1:11" x14ac:dyDescent="0.25">
      <c r="A22" t="s">
        <v>52</v>
      </c>
      <c r="B22" t="s">
        <v>9</v>
      </c>
      <c r="C22" t="s">
        <v>10</v>
      </c>
      <c r="D22" t="s">
        <v>11</v>
      </c>
      <c r="E22" t="s">
        <v>12</v>
      </c>
      <c r="F22" t="str">
        <f t="shared" si="0"/>
        <v>Trail Chef</v>
      </c>
      <c r="G22" t="s">
        <v>14</v>
      </c>
      <c r="H22" t="s">
        <v>15</v>
      </c>
      <c r="I22" t="s">
        <v>16</v>
      </c>
      <c r="J22" t="s">
        <v>38</v>
      </c>
      <c r="K22">
        <v>42163.45</v>
      </c>
    </row>
    <row r="23" spans="1:11" x14ac:dyDescent="0.25">
      <c r="A23" t="s">
        <v>52</v>
      </c>
      <c r="B23" t="s">
        <v>9</v>
      </c>
      <c r="C23" t="s">
        <v>10</v>
      </c>
      <c r="D23" t="s">
        <v>11</v>
      </c>
      <c r="E23" t="s">
        <v>12</v>
      </c>
      <c r="F23" t="str">
        <f t="shared" si="0"/>
        <v>Trail Chef</v>
      </c>
      <c r="G23" t="s">
        <v>14</v>
      </c>
      <c r="H23" t="s">
        <v>15</v>
      </c>
      <c r="I23" t="s">
        <v>53</v>
      </c>
      <c r="J23" t="s">
        <v>47</v>
      </c>
      <c r="K23">
        <v>7367.64</v>
      </c>
    </row>
    <row r="24" spans="1:11" x14ac:dyDescent="0.25">
      <c r="A24" t="s">
        <v>52</v>
      </c>
      <c r="B24" t="s">
        <v>9</v>
      </c>
      <c r="C24" t="s">
        <v>10</v>
      </c>
      <c r="D24" t="s">
        <v>11</v>
      </c>
      <c r="E24" t="s">
        <v>12</v>
      </c>
      <c r="F24" t="str">
        <f t="shared" si="0"/>
        <v>Trail Chef</v>
      </c>
      <c r="G24" t="s">
        <v>14</v>
      </c>
      <c r="H24" t="s">
        <v>15</v>
      </c>
      <c r="I24" t="s">
        <v>53</v>
      </c>
      <c r="J24" t="s">
        <v>19</v>
      </c>
      <c r="K24">
        <v>59404.73</v>
      </c>
    </row>
    <row r="25" spans="1:11" x14ac:dyDescent="0.25">
      <c r="A25" t="s">
        <v>52</v>
      </c>
      <c r="B25" t="s">
        <v>9</v>
      </c>
      <c r="C25" t="s">
        <v>10</v>
      </c>
      <c r="D25" t="s">
        <v>11</v>
      </c>
      <c r="E25" t="s">
        <v>12</v>
      </c>
      <c r="F25" t="str">
        <f t="shared" si="0"/>
        <v>Trail Chef</v>
      </c>
      <c r="G25" t="s">
        <v>14</v>
      </c>
      <c r="H25" t="s">
        <v>15</v>
      </c>
      <c r="I25" t="s">
        <v>53</v>
      </c>
      <c r="J25" t="s">
        <v>20</v>
      </c>
      <c r="K25">
        <v>13620.11</v>
      </c>
    </row>
    <row r="26" spans="1:11" x14ac:dyDescent="0.25">
      <c r="A26" t="s">
        <v>52</v>
      </c>
      <c r="B26" t="s">
        <v>9</v>
      </c>
      <c r="C26" t="s">
        <v>10</v>
      </c>
      <c r="D26" t="s">
        <v>11</v>
      </c>
      <c r="E26" t="s">
        <v>12</v>
      </c>
      <c r="F26" t="str">
        <f t="shared" si="0"/>
        <v>Trail Chef</v>
      </c>
      <c r="G26" t="s">
        <v>14</v>
      </c>
      <c r="H26" t="s">
        <v>15</v>
      </c>
      <c r="I26" t="s">
        <v>53</v>
      </c>
      <c r="J26" t="s">
        <v>21</v>
      </c>
      <c r="K26">
        <v>77447.929999999993</v>
      </c>
    </row>
    <row r="27" spans="1:11" x14ac:dyDescent="0.25">
      <c r="A27" t="s">
        <v>52</v>
      </c>
      <c r="B27" t="s">
        <v>9</v>
      </c>
      <c r="C27" t="s">
        <v>10</v>
      </c>
      <c r="D27" t="s">
        <v>11</v>
      </c>
      <c r="E27" t="s">
        <v>12</v>
      </c>
      <c r="F27" t="str">
        <f t="shared" si="0"/>
        <v>Trail Chef</v>
      </c>
      <c r="G27" t="s">
        <v>14</v>
      </c>
      <c r="H27" t="s">
        <v>15</v>
      </c>
      <c r="I27" t="s">
        <v>53</v>
      </c>
      <c r="J27" t="s">
        <v>22</v>
      </c>
      <c r="K27">
        <v>6615.84</v>
      </c>
    </row>
    <row r="28" spans="1:11" x14ac:dyDescent="0.25">
      <c r="A28" t="s">
        <v>52</v>
      </c>
      <c r="B28" t="s">
        <v>9</v>
      </c>
      <c r="C28" t="s">
        <v>10</v>
      </c>
      <c r="D28" t="s">
        <v>11</v>
      </c>
      <c r="E28" t="s">
        <v>12</v>
      </c>
      <c r="F28" t="str">
        <f t="shared" si="0"/>
        <v>Trail Chef</v>
      </c>
      <c r="G28" t="s">
        <v>14</v>
      </c>
      <c r="H28" t="s">
        <v>15</v>
      </c>
      <c r="I28" t="s">
        <v>53</v>
      </c>
      <c r="J28" t="s">
        <v>23</v>
      </c>
      <c r="K28">
        <v>62800.36</v>
      </c>
    </row>
    <row r="29" spans="1:11" x14ac:dyDescent="0.25">
      <c r="A29" t="s">
        <v>52</v>
      </c>
      <c r="B29" t="s">
        <v>9</v>
      </c>
      <c r="C29" t="s">
        <v>10</v>
      </c>
      <c r="D29" t="s">
        <v>11</v>
      </c>
      <c r="E29" t="s">
        <v>12</v>
      </c>
      <c r="F29" t="str">
        <f t="shared" si="0"/>
        <v>Trail Chef</v>
      </c>
      <c r="G29" t="s">
        <v>14</v>
      </c>
      <c r="H29" t="s">
        <v>15</v>
      </c>
      <c r="I29" t="s">
        <v>53</v>
      </c>
      <c r="J29" t="s">
        <v>24</v>
      </c>
      <c r="K29">
        <v>52776.36</v>
      </c>
    </row>
    <row r="30" spans="1:11" x14ac:dyDescent="0.25">
      <c r="A30" t="s">
        <v>52</v>
      </c>
      <c r="B30" t="s">
        <v>9</v>
      </c>
      <c r="C30" t="s">
        <v>10</v>
      </c>
      <c r="D30" t="s">
        <v>11</v>
      </c>
      <c r="E30" t="s">
        <v>12</v>
      </c>
      <c r="F30" t="str">
        <f t="shared" si="0"/>
        <v>Trail Chef</v>
      </c>
      <c r="G30" t="s">
        <v>14</v>
      </c>
      <c r="H30" t="s">
        <v>15</v>
      </c>
      <c r="I30" t="s">
        <v>53</v>
      </c>
      <c r="J30" t="s">
        <v>25</v>
      </c>
      <c r="K30">
        <v>52519.3</v>
      </c>
    </row>
    <row r="31" spans="1:11" x14ac:dyDescent="0.25">
      <c r="A31" t="s">
        <v>52</v>
      </c>
      <c r="B31" t="s">
        <v>9</v>
      </c>
      <c r="C31" t="s">
        <v>10</v>
      </c>
      <c r="D31" t="s">
        <v>11</v>
      </c>
      <c r="E31" t="s">
        <v>12</v>
      </c>
      <c r="F31" t="str">
        <f t="shared" si="0"/>
        <v>Trail Chef</v>
      </c>
      <c r="G31" t="s">
        <v>14</v>
      </c>
      <c r="H31" t="s">
        <v>15</v>
      </c>
      <c r="I31" t="s">
        <v>53</v>
      </c>
      <c r="J31" t="s">
        <v>26</v>
      </c>
      <c r="K31">
        <v>28405.51</v>
      </c>
    </row>
    <row r="32" spans="1:11" x14ac:dyDescent="0.25">
      <c r="A32" t="s">
        <v>52</v>
      </c>
      <c r="B32" t="s">
        <v>9</v>
      </c>
      <c r="C32" t="s">
        <v>10</v>
      </c>
      <c r="D32" t="s">
        <v>11</v>
      </c>
      <c r="E32" t="s">
        <v>12</v>
      </c>
      <c r="F32" t="str">
        <f t="shared" si="0"/>
        <v>Trail Chef</v>
      </c>
      <c r="G32" t="s">
        <v>14</v>
      </c>
      <c r="H32" t="s">
        <v>15</v>
      </c>
      <c r="I32" t="s">
        <v>53</v>
      </c>
      <c r="J32" t="s">
        <v>27</v>
      </c>
      <c r="K32">
        <v>59479.91</v>
      </c>
    </row>
    <row r="33" spans="1:11" x14ac:dyDescent="0.25">
      <c r="A33" t="s">
        <v>52</v>
      </c>
      <c r="B33" t="s">
        <v>9</v>
      </c>
      <c r="C33" t="s">
        <v>10</v>
      </c>
      <c r="D33" t="s">
        <v>11</v>
      </c>
      <c r="E33" t="s">
        <v>12</v>
      </c>
      <c r="F33" t="str">
        <f t="shared" si="0"/>
        <v>Trail Chef</v>
      </c>
      <c r="G33" t="s">
        <v>14</v>
      </c>
      <c r="H33" t="s">
        <v>15</v>
      </c>
      <c r="I33" t="s">
        <v>53</v>
      </c>
      <c r="J33" t="s">
        <v>28</v>
      </c>
      <c r="K33">
        <v>62800.36</v>
      </c>
    </row>
    <row r="34" spans="1:11" x14ac:dyDescent="0.25">
      <c r="A34" t="s">
        <v>52</v>
      </c>
      <c r="B34" t="s">
        <v>9</v>
      </c>
      <c r="C34" t="s">
        <v>10</v>
      </c>
      <c r="D34" t="s">
        <v>11</v>
      </c>
      <c r="E34" t="s">
        <v>12</v>
      </c>
      <c r="F34" t="str">
        <f t="shared" si="0"/>
        <v>Trail Chef</v>
      </c>
      <c r="G34" t="s">
        <v>14</v>
      </c>
      <c r="H34" t="s">
        <v>15</v>
      </c>
      <c r="I34" t="s">
        <v>53</v>
      </c>
      <c r="J34" t="s">
        <v>29</v>
      </c>
      <c r="K34">
        <v>72891.83</v>
      </c>
    </row>
    <row r="35" spans="1:11" x14ac:dyDescent="0.25">
      <c r="A35" t="s">
        <v>52</v>
      </c>
      <c r="B35" t="s">
        <v>9</v>
      </c>
      <c r="C35" t="s">
        <v>10</v>
      </c>
      <c r="D35" t="s">
        <v>11</v>
      </c>
      <c r="E35" t="s">
        <v>12</v>
      </c>
      <c r="F35" t="str">
        <f t="shared" si="0"/>
        <v>Trail Chef</v>
      </c>
      <c r="G35" t="s">
        <v>14</v>
      </c>
      <c r="H35" t="s">
        <v>15</v>
      </c>
      <c r="I35" t="s">
        <v>53</v>
      </c>
      <c r="J35" t="s">
        <v>30</v>
      </c>
      <c r="K35">
        <v>12469.92</v>
      </c>
    </row>
    <row r="36" spans="1:11" x14ac:dyDescent="0.25">
      <c r="A36" t="s">
        <v>52</v>
      </c>
      <c r="B36" t="s">
        <v>9</v>
      </c>
      <c r="C36" t="s">
        <v>10</v>
      </c>
      <c r="D36" t="s">
        <v>11</v>
      </c>
      <c r="E36" t="s">
        <v>12</v>
      </c>
      <c r="F36" t="str">
        <f t="shared" si="0"/>
        <v>Trail Chef</v>
      </c>
      <c r="G36" t="s">
        <v>14</v>
      </c>
      <c r="H36" t="s">
        <v>15</v>
      </c>
      <c r="I36" t="s">
        <v>53</v>
      </c>
      <c r="J36" t="s">
        <v>31</v>
      </c>
      <c r="K36">
        <v>96009.15</v>
      </c>
    </row>
    <row r="37" spans="1:11" x14ac:dyDescent="0.25">
      <c r="A37" t="s">
        <v>52</v>
      </c>
      <c r="B37" t="s">
        <v>9</v>
      </c>
      <c r="C37" t="s">
        <v>10</v>
      </c>
      <c r="D37" t="s">
        <v>11</v>
      </c>
      <c r="E37" t="s">
        <v>12</v>
      </c>
      <c r="F37" t="str">
        <f t="shared" si="0"/>
        <v>Trail Chef</v>
      </c>
      <c r="G37" t="s">
        <v>14</v>
      </c>
      <c r="H37" t="s">
        <v>15</v>
      </c>
      <c r="I37" t="s">
        <v>53</v>
      </c>
      <c r="J37" t="s">
        <v>32</v>
      </c>
      <c r="K37">
        <v>137602.28</v>
      </c>
    </row>
    <row r="38" spans="1:11" x14ac:dyDescent="0.25">
      <c r="A38" t="s">
        <v>52</v>
      </c>
      <c r="B38" t="s">
        <v>9</v>
      </c>
      <c r="C38" t="s">
        <v>10</v>
      </c>
      <c r="D38" t="s">
        <v>11</v>
      </c>
      <c r="E38" t="s">
        <v>12</v>
      </c>
      <c r="F38" t="str">
        <f t="shared" si="0"/>
        <v>Trail Chef</v>
      </c>
      <c r="G38" t="s">
        <v>14</v>
      </c>
      <c r="H38" t="s">
        <v>15</v>
      </c>
      <c r="I38" t="s">
        <v>53</v>
      </c>
      <c r="J38" t="s">
        <v>48</v>
      </c>
      <c r="K38">
        <v>52776.36</v>
      </c>
    </row>
    <row r="39" spans="1:11" x14ac:dyDescent="0.25">
      <c r="A39" t="s">
        <v>52</v>
      </c>
      <c r="B39" t="s">
        <v>9</v>
      </c>
      <c r="C39" t="s">
        <v>10</v>
      </c>
      <c r="D39" t="s">
        <v>11</v>
      </c>
      <c r="E39" t="s">
        <v>12</v>
      </c>
      <c r="F39" t="str">
        <f t="shared" si="0"/>
        <v>Trail Chef</v>
      </c>
      <c r="G39" t="s">
        <v>14</v>
      </c>
      <c r="H39" t="s">
        <v>15</v>
      </c>
      <c r="I39" t="s">
        <v>53</v>
      </c>
      <c r="J39" t="s">
        <v>34</v>
      </c>
      <c r="K39">
        <v>52519.3</v>
      </c>
    </row>
    <row r="40" spans="1:11" x14ac:dyDescent="0.25">
      <c r="A40" t="s">
        <v>52</v>
      </c>
      <c r="B40" t="s">
        <v>9</v>
      </c>
      <c r="C40" t="s">
        <v>10</v>
      </c>
      <c r="D40" t="s">
        <v>11</v>
      </c>
      <c r="E40" t="s">
        <v>12</v>
      </c>
      <c r="F40" t="str">
        <f t="shared" si="0"/>
        <v>Trail Chef</v>
      </c>
      <c r="G40" t="s">
        <v>14</v>
      </c>
      <c r="H40" t="s">
        <v>15</v>
      </c>
      <c r="I40" t="s">
        <v>53</v>
      </c>
      <c r="J40" t="s">
        <v>35</v>
      </c>
      <c r="K40">
        <v>28405.51</v>
      </c>
    </row>
    <row r="41" spans="1:11" x14ac:dyDescent="0.25">
      <c r="A41" t="s">
        <v>52</v>
      </c>
      <c r="B41" t="s">
        <v>9</v>
      </c>
      <c r="C41" t="s">
        <v>10</v>
      </c>
      <c r="D41" t="s">
        <v>11</v>
      </c>
      <c r="E41" t="s">
        <v>12</v>
      </c>
      <c r="F41" t="str">
        <f t="shared" si="0"/>
        <v>Trail Chef</v>
      </c>
      <c r="G41" t="s">
        <v>14</v>
      </c>
      <c r="H41" t="s">
        <v>15</v>
      </c>
      <c r="I41" t="s">
        <v>53</v>
      </c>
      <c r="J41" t="s">
        <v>36</v>
      </c>
      <c r="K41">
        <v>59479.91</v>
      </c>
    </row>
    <row r="42" spans="1:11" x14ac:dyDescent="0.25">
      <c r="A42" t="s">
        <v>52</v>
      </c>
      <c r="B42" t="s">
        <v>9</v>
      </c>
      <c r="C42" t="s">
        <v>10</v>
      </c>
      <c r="D42" t="s">
        <v>11</v>
      </c>
      <c r="E42" t="s">
        <v>12</v>
      </c>
      <c r="F42" t="str">
        <f t="shared" si="0"/>
        <v>Trail Chef</v>
      </c>
      <c r="G42" t="s">
        <v>14</v>
      </c>
      <c r="H42" t="s">
        <v>15</v>
      </c>
      <c r="I42" t="s">
        <v>53</v>
      </c>
      <c r="J42" t="s">
        <v>37</v>
      </c>
      <c r="K42">
        <v>103089.33</v>
      </c>
    </row>
    <row r="43" spans="1:11" x14ac:dyDescent="0.25">
      <c r="A43" t="s">
        <v>52</v>
      </c>
      <c r="B43" t="s">
        <v>9</v>
      </c>
      <c r="C43" t="s">
        <v>10</v>
      </c>
      <c r="D43" t="s">
        <v>11</v>
      </c>
      <c r="E43" t="s">
        <v>12</v>
      </c>
      <c r="F43" t="str">
        <f t="shared" si="0"/>
        <v>Trail Chef</v>
      </c>
      <c r="G43" t="s">
        <v>14</v>
      </c>
      <c r="H43" t="s">
        <v>15</v>
      </c>
      <c r="I43" t="s">
        <v>53</v>
      </c>
      <c r="J43" t="s">
        <v>38</v>
      </c>
      <c r="K43">
        <v>13036.14</v>
      </c>
    </row>
    <row r="44" spans="1:11" x14ac:dyDescent="0.25">
      <c r="A44" t="s">
        <v>52</v>
      </c>
      <c r="B44" t="s">
        <v>9</v>
      </c>
      <c r="C44" t="s">
        <v>10</v>
      </c>
      <c r="D44" t="s">
        <v>11</v>
      </c>
      <c r="E44" t="s">
        <v>12</v>
      </c>
      <c r="F44" t="str">
        <f t="shared" si="0"/>
        <v>Trail Chef</v>
      </c>
      <c r="G44" t="s">
        <v>14</v>
      </c>
      <c r="H44" t="s">
        <v>15</v>
      </c>
      <c r="I44" t="s">
        <v>40</v>
      </c>
      <c r="J44" t="s">
        <v>47</v>
      </c>
      <c r="K44">
        <v>340867.26</v>
      </c>
    </row>
    <row r="45" spans="1:11" x14ac:dyDescent="0.25">
      <c r="A45" t="s">
        <v>52</v>
      </c>
      <c r="B45" t="s">
        <v>9</v>
      </c>
      <c r="C45" t="s">
        <v>10</v>
      </c>
      <c r="D45" t="s">
        <v>11</v>
      </c>
      <c r="E45" t="s">
        <v>12</v>
      </c>
      <c r="F45" t="str">
        <f t="shared" si="0"/>
        <v>Trail Chef</v>
      </c>
      <c r="G45" t="s">
        <v>14</v>
      </c>
      <c r="H45" t="s">
        <v>15</v>
      </c>
      <c r="I45" t="s">
        <v>40</v>
      </c>
      <c r="J45" t="s">
        <v>19</v>
      </c>
      <c r="K45">
        <v>171649.73</v>
      </c>
    </row>
    <row r="46" spans="1:11" x14ac:dyDescent="0.25">
      <c r="A46" t="s">
        <v>52</v>
      </c>
      <c r="B46" t="s">
        <v>9</v>
      </c>
      <c r="C46" t="s">
        <v>10</v>
      </c>
      <c r="D46" t="s">
        <v>11</v>
      </c>
      <c r="E46" t="s">
        <v>12</v>
      </c>
      <c r="F46" t="str">
        <f t="shared" si="0"/>
        <v>Trail Chef</v>
      </c>
      <c r="G46" t="s">
        <v>14</v>
      </c>
      <c r="H46" t="s">
        <v>15</v>
      </c>
      <c r="I46" t="s">
        <v>40</v>
      </c>
      <c r="J46" t="s">
        <v>20</v>
      </c>
      <c r="K46">
        <v>33964.86</v>
      </c>
    </row>
    <row r="47" spans="1:11" x14ac:dyDescent="0.25">
      <c r="A47" t="s">
        <v>52</v>
      </c>
      <c r="B47" t="s">
        <v>9</v>
      </c>
      <c r="C47" t="s">
        <v>10</v>
      </c>
      <c r="D47" t="s">
        <v>11</v>
      </c>
      <c r="E47" t="s">
        <v>12</v>
      </c>
      <c r="F47" t="str">
        <f t="shared" si="0"/>
        <v>Trail Chef</v>
      </c>
      <c r="G47" t="s">
        <v>14</v>
      </c>
      <c r="H47" t="s">
        <v>15</v>
      </c>
      <c r="I47" t="s">
        <v>40</v>
      </c>
      <c r="J47" t="s">
        <v>21</v>
      </c>
      <c r="K47">
        <v>156433.42000000001</v>
      </c>
    </row>
    <row r="48" spans="1:11" x14ac:dyDescent="0.25">
      <c r="A48" t="s">
        <v>52</v>
      </c>
      <c r="B48" t="s">
        <v>9</v>
      </c>
      <c r="C48" t="s">
        <v>10</v>
      </c>
      <c r="D48" t="s">
        <v>11</v>
      </c>
      <c r="E48" t="s">
        <v>12</v>
      </c>
      <c r="F48" t="str">
        <f t="shared" si="0"/>
        <v>Trail Chef</v>
      </c>
      <c r="G48" t="s">
        <v>14</v>
      </c>
      <c r="H48" t="s">
        <v>15</v>
      </c>
      <c r="I48" t="s">
        <v>40</v>
      </c>
      <c r="J48" t="s">
        <v>22</v>
      </c>
      <c r="K48">
        <v>81860.98</v>
      </c>
    </row>
    <row r="49" spans="1:11" x14ac:dyDescent="0.25">
      <c r="A49" t="s">
        <v>52</v>
      </c>
      <c r="B49" t="s">
        <v>9</v>
      </c>
      <c r="C49" t="s">
        <v>10</v>
      </c>
      <c r="D49" t="s">
        <v>11</v>
      </c>
      <c r="E49" t="s">
        <v>12</v>
      </c>
      <c r="F49" t="str">
        <f t="shared" si="0"/>
        <v>Trail Chef</v>
      </c>
      <c r="G49" t="s">
        <v>14</v>
      </c>
      <c r="H49" t="s">
        <v>15</v>
      </c>
      <c r="I49" t="s">
        <v>40</v>
      </c>
      <c r="J49" t="s">
        <v>23</v>
      </c>
      <c r="K49">
        <v>98184.41</v>
      </c>
    </row>
    <row r="50" spans="1:11" x14ac:dyDescent="0.25">
      <c r="A50" t="s">
        <v>52</v>
      </c>
      <c r="B50" t="s">
        <v>9</v>
      </c>
      <c r="C50" t="s">
        <v>10</v>
      </c>
      <c r="D50" t="s">
        <v>11</v>
      </c>
      <c r="E50" t="s">
        <v>12</v>
      </c>
      <c r="F50" t="str">
        <f t="shared" si="0"/>
        <v>Trail Chef</v>
      </c>
      <c r="G50" t="s">
        <v>14</v>
      </c>
      <c r="H50" t="s">
        <v>15</v>
      </c>
      <c r="I50" t="s">
        <v>40</v>
      </c>
      <c r="J50" t="s">
        <v>24</v>
      </c>
      <c r="K50">
        <v>348446.25</v>
      </c>
    </row>
    <row r="51" spans="1:11" x14ac:dyDescent="0.25">
      <c r="A51" t="s">
        <v>52</v>
      </c>
      <c r="B51" t="s">
        <v>9</v>
      </c>
      <c r="C51" t="s">
        <v>10</v>
      </c>
      <c r="D51" t="s">
        <v>11</v>
      </c>
      <c r="E51" t="s">
        <v>12</v>
      </c>
      <c r="F51" t="str">
        <f t="shared" si="0"/>
        <v>Trail Chef</v>
      </c>
      <c r="G51" t="s">
        <v>14</v>
      </c>
      <c r="H51" t="s">
        <v>15</v>
      </c>
      <c r="I51" t="s">
        <v>40</v>
      </c>
      <c r="J51" t="s">
        <v>25</v>
      </c>
      <c r="K51">
        <v>18728.78</v>
      </c>
    </row>
    <row r="52" spans="1:11" x14ac:dyDescent="0.25">
      <c r="A52" t="s">
        <v>52</v>
      </c>
      <c r="B52" t="s">
        <v>9</v>
      </c>
      <c r="C52" t="s">
        <v>10</v>
      </c>
      <c r="D52" t="s">
        <v>11</v>
      </c>
      <c r="E52" t="s">
        <v>12</v>
      </c>
      <c r="F52" t="str">
        <f t="shared" si="0"/>
        <v>Trail Chef</v>
      </c>
      <c r="G52" t="s">
        <v>14</v>
      </c>
      <c r="H52" t="s">
        <v>15</v>
      </c>
      <c r="I52" t="s">
        <v>40</v>
      </c>
      <c r="J52" t="s">
        <v>26</v>
      </c>
      <c r="K52">
        <v>156433.42000000001</v>
      </c>
    </row>
    <row r="53" spans="1:11" x14ac:dyDescent="0.25">
      <c r="A53" t="s">
        <v>52</v>
      </c>
      <c r="B53" t="s">
        <v>9</v>
      </c>
      <c r="C53" t="s">
        <v>10</v>
      </c>
      <c r="D53" t="s">
        <v>11</v>
      </c>
      <c r="E53" t="s">
        <v>12</v>
      </c>
      <c r="F53" t="str">
        <f t="shared" si="0"/>
        <v>Trail Chef</v>
      </c>
      <c r="G53" t="s">
        <v>14</v>
      </c>
      <c r="H53" t="s">
        <v>15</v>
      </c>
      <c r="I53" t="s">
        <v>40</v>
      </c>
      <c r="J53" t="s">
        <v>27</v>
      </c>
      <c r="K53">
        <v>81860.98</v>
      </c>
    </row>
    <row r="54" spans="1:11" x14ac:dyDescent="0.25">
      <c r="A54" t="s">
        <v>52</v>
      </c>
      <c r="B54" t="s">
        <v>9</v>
      </c>
      <c r="C54" t="s">
        <v>10</v>
      </c>
      <c r="D54" t="s">
        <v>11</v>
      </c>
      <c r="E54" t="s">
        <v>12</v>
      </c>
      <c r="F54" t="str">
        <f t="shared" si="0"/>
        <v>Trail Chef</v>
      </c>
      <c r="G54" t="s">
        <v>14</v>
      </c>
      <c r="H54" t="s">
        <v>15</v>
      </c>
      <c r="I54" t="s">
        <v>40</v>
      </c>
      <c r="J54" t="s">
        <v>28</v>
      </c>
      <c r="K54">
        <v>98184.41</v>
      </c>
    </row>
    <row r="55" spans="1:11" x14ac:dyDescent="0.25">
      <c r="A55" t="s">
        <v>52</v>
      </c>
      <c r="B55" t="s">
        <v>9</v>
      </c>
      <c r="C55" t="s">
        <v>10</v>
      </c>
      <c r="D55" t="s">
        <v>11</v>
      </c>
      <c r="E55" t="s">
        <v>12</v>
      </c>
      <c r="F55" t="str">
        <f t="shared" si="0"/>
        <v>Trail Chef</v>
      </c>
      <c r="G55" t="s">
        <v>14</v>
      </c>
      <c r="H55" t="s">
        <v>15</v>
      </c>
      <c r="I55" t="s">
        <v>40</v>
      </c>
      <c r="J55" t="s">
        <v>29</v>
      </c>
      <c r="K55">
        <v>348446.25</v>
      </c>
    </row>
    <row r="56" spans="1:11" x14ac:dyDescent="0.25">
      <c r="A56" t="s">
        <v>52</v>
      </c>
      <c r="B56" t="s">
        <v>9</v>
      </c>
      <c r="C56" t="s">
        <v>10</v>
      </c>
      <c r="D56" t="s">
        <v>11</v>
      </c>
      <c r="E56" t="s">
        <v>12</v>
      </c>
      <c r="F56" t="str">
        <f t="shared" si="0"/>
        <v>Trail Chef</v>
      </c>
      <c r="G56" t="s">
        <v>14</v>
      </c>
      <c r="H56" t="s">
        <v>15</v>
      </c>
      <c r="I56" t="s">
        <v>40</v>
      </c>
      <c r="J56" t="s">
        <v>30</v>
      </c>
      <c r="K56">
        <v>44093.69</v>
      </c>
    </row>
    <row r="57" spans="1:11" x14ac:dyDescent="0.25">
      <c r="A57" t="s">
        <v>52</v>
      </c>
      <c r="B57" t="s">
        <v>9</v>
      </c>
      <c r="C57" t="s">
        <v>10</v>
      </c>
      <c r="D57" t="s">
        <v>11</v>
      </c>
      <c r="E57" t="s">
        <v>12</v>
      </c>
      <c r="F57" t="str">
        <f t="shared" si="0"/>
        <v>Trail Chef</v>
      </c>
      <c r="G57" t="s">
        <v>14</v>
      </c>
      <c r="H57" t="s">
        <v>15</v>
      </c>
      <c r="I57" t="s">
        <v>40</v>
      </c>
      <c r="J57" t="s">
        <v>31</v>
      </c>
      <c r="K57">
        <v>121196.69</v>
      </c>
    </row>
    <row r="58" spans="1:11" x14ac:dyDescent="0.25">
      <c r="A58" t="s">
        <v>52</v>
      </c>
      <c r="B58" t="s">
        <v>9</v>
      </c>
      <c r="C58" t="s">
        <v>10</v>
      </c>
      <c r="D58" t="s">
        <v>11</v>
      </c>
      <c r="E58" t="s">
        <v>12</v>
      </c>
      <c r="F58" t="str">
        <f t="shared" si="0"/>
        <v>Trail Chef</v>
      </c>
      <c r="G58" t="s">
        <v>14</v>
      </c>
      <c r="H58" t="s">
        <v>15</v>
      </c>
      <c r="I58" t="s">
        <v>40</v>
      </c>
      <c r="J58" t="s">
        <v>32</v>
      </c>
      <c r="K58">
        <v>74427.460000000006</v>
      </c>
    </row>
    <row r="59" spans="1:11" x14ac:dyDescent="0.25">
      <c r="A59" t="s">
        <v>52</v>
      </c>
      <c r="B59" t="s">
        <v>9</v>
      </c>
      <c r="C59" t="s">
        <v>10</v>
      </c>
      <c r="D59" t="s">
        <v>11</v>
      </c>
      <c r="E59" t="s">
        <v>12</v>
      </c>
      <c r="F59" t="str">
        <f t="shared" si="0"/>
        <v>Trail Chef</v>
      </c>
      <c r="G59" t="s">
        <v>14</v>
      </c>
      <c r="H59" t="s">
        <v>15</v>
      </c>
      <c r="I59" t="s">
        <v>40</v>
      </c>
      <c r="J59" t="s">
        <v>48</v>
      </c>
      <c r="K59">
        <v>168290.41</v>
      </c>
    </row>
    <row r="60" spans="1:11" x14ac:dyDescent="0.25">
      <c r="A60" t="s">
        <v>52</v>
      </c>
      <c r="B60" t="s">
        <v>9</v>
      </c>
      <c r="C60" t="s">
        <v>10</v>
      </c>
      <c r="D60" t="s">
        <v>11</v>
      </c>
      <c r="E60" t="s">
        <v>12</v>
      </c>
      <c r="F60" t="str">
        <f t="shared" si="0"/>
        <v>Trail Chef</v>
      </c>
      <c r="G60" t="s">
        <v>14</v>
      </c>
      <c r="H60" t="s">
        <v>15</v>
      </c>
      <c r="I60" t="s">
        <v>40</v>
      </c>
      <c r="J60" t="s">
        <v>34</v>
      </c>
      <c r="K60">
        <v>56911.24</v>
      </c>
    </row>
    <row r="61" spans="1:11" x14ac:dyDescent="0.25">
      <c r="A61" t="s">
        <v>52</v>
      </c>
      <c r="B61" t="s">
        <v>9</v>
      </c>
      <c r="C61" t="s">
        <v>10</v>
      </c>
      <c r="D61" t="s">
        <v>11</v>
      </c>
      <c r="E61" t="s">
        <v>12</v>
      </c>
      <c r="F61" t="str">
        <f t="shared" si="0"/>
        <v>Trail Chef</v>
      </c>
      <c r="G61" t="s">
        <v>14</v>
      </c>
      <c r="H61" t="s">
        <v>15</v>
      </c>
      <c r="I61" t="s">
        <v>40</v>
      </c>
      <c r="J61" t="s">
        <v>35</v>
      </c>
      <c r="K61">
        <v>74427.460000000006</v>
      </c>
    </row>
    <row r="62" spans="1:11" x14ac:dyDescent="0.25">
      <c r="A62" t="s">
        <v>52</v>
      </c>
      <c r="B62" t="s">
        <v>9</v>
      </c>
      <c r="C62" t="s">
        <v>10</v>
      </c>
      <c r="D62" t="s">
        <v>11</v>
      </c>
      <c r="E62" t="s">
        <v>12</v>
      </c>
      <c r="F62" t="str">
        <f t="shared" si="0"/>
        <v>Trail Chef</v>
      </c>
      <c r="G62" t="s">
        <v>14</v>
      </c>
      <c r="H62" t="s">
        <v>15</v>
      </c>
      <c r="I62" t="s">
        <v>40</v>
      </c>
      <c r="J62" t="s">
        <v>36</v>
      </c>
      <c r="K62">
        <v>168290.41</v>
      </c>
    </row>
    <row r="63" spans="1:11" x14ac:dyDescent="0.25">
      <c r="A63" t="s">
        <v>52</v>
      </c>
      <c r="B63" t="s">
        <v>9</v>
      </c>
      <c r="C63" t="s">
        <v>10</v>
      </c>
      <c r="D63" t="s">
        <v>11</v>
      </c>
      <c r="E63" t="s">
        <v>12</v>
      </c>
      <c r="F63" t="str">
        <f t="shared" si="0"/>
        <v>Trail Chef</v>
      </c>
      <c r="G63" t="s">
        <v>14</v>
      </c>
      <c r="H63" t="s">
        <v>15</v>
      </c>
      <c r="I63" t="s">
        <v>40</v>
      </c>
      <c r="J63" t="s">
        <v>37</v>
      </c>
      <c r="K63">
        <v>13707.2</v>
      </c>
    </row>
    <row r="64" spans="1:11" x14ac:dyDescent="0.25">
      <c r="A64" t="s">
        <v>52</v>
      </c>
      <c r="B64" t="s">
        <v>9</v>
      </c>
      <c r="C64" t="s">
        <v>10</v>
      </c>
      <c r="D64" t="s">
        <v>11</v>
      </c>
      <c r="E64" t="s">
        <v>12</v>
      </c>
      <c r="F64" t="str">
        <f t="shared" si="0"/>
        <v>Trail Chef</v>
      </c>
      <c r="G64" t="s">
        <v>14</v>
      </c>
      <c r="H64" t="s">
        <v>15</v>
      </c>
      <c r="I64" t="s">
        <v>40</v>
      </c>
      <c r="J64" t="s">
        <v>38</v>
      </c>
      <c r="K64">
        <v>127219.95</v>
      </c>
    </row>
    <row r="65" spans="1:11" x14ac:dyDescent="0.25">
      <c r="A65" t="s">
        <v>52</v>
      </c>
      <c r="B65" t="s">
        <v>9</v>
      </c>
      <c r="C65" t="s">
        <v>10</v>
      </c>
      <c r="D65" t="s">
        <v>11</v>
      </c>
      <c r="E65" t="s">
        <v>12</v>
      </c>
      <c r="F65" t="str">
        <f t="shared" si="0"/>
        <v>Trail Chef</v>
      </c>
      <c r="G65" t="s">
        <v>14</v>
      </c>
      <c r="H65" t="s">
        <v>15</v>
      </c>
      <c r="I65" t="s">
        <v>41</v>
      </c>
      <c r="J65" t="s">
        <v>17</v>
      </c>
      <c r="K65">
        <v>74427.460000000006</v>
      </c>
    </row>
    <row r="66" spans="1:11" x14ac:dyDescent="0.25">
      <c r="A66" t="s">
        <v>52</v>
      </c>
      <c r="B66" t="s">
        <v>9</v>
      </c>
      <c r="C66" t="s">
        <v>10</v>
      </c>
      <c r="D66" t="s">
        <v>11</v>
      </c>
      <c r="E66" t="s">
        <v>12</v>
      </c>
      <c r="F66" t="str">
        <f t="shared" si="0"/>
        <v>Trail Chef</v>
      </c>
      <c r="G66" t="s">
        <v>14</v>
      </c>
      <c r="H66" t="s">
        <v>15</v>
      </c>
      <c r="I66" t="s">
        <v>41</v>
      </c>
      <c r="J66" t="s">
        <v>19</v>
      </c>
      <c r="K66">
        <v>168290.41</v>
      </c>
    </row>
    <row r="67" spans="1:11" x14ac:dyDescent="0.25">
      <c r="A67" t="s">
        <v>52</v>
      </c>
      <c r="B67" t="s">
        <v>9</v>
      </c>
      <c r="C67" t="s">
        <v>10</v>
      </c>
      <c r="D67" t="s">
        <v>11</v>
      </c>
      <c r="E67" t="s">
        <v>12</v>
      </c>
      <c r="F67" t="str">
        <f t="shared" ref="F67:F101" si="1">CONCATENATE("Trail", " ", "Chef")</f>
        <v>Trail Chef</v>
      </c>
      <c r="G67" t="s">
        <v>14</v>
      </c>
      <c r="H67" t="s">
        <v>15</v>
      </c>
      <c r="I67" t="s">
        <v>41</v>
      </c>
      <c r="J67" t="s">
        <v>20</v>
      </c>
      <c r="K67">
        <v>27842.75</v>
      </c>
    </row>
    <row r="68" spans="1:11" x14ac:dyDescent="0.25">
      <c r="A68" t="s">
        <v>52</v>
      </c>
      <c r="B68" t="s">
        <v>9</v>
      </c>
      <c r="C68" t="s">
        <v>10</v>
      </c>
      <c r="D68" t="s">
        <v>11</v>
      </c>
      <c r="E68" t="s">
        <v>12</v>
      </c>
      <c r="F68" t="str">
        <f t="shared" si="1"/>
        <v>Trail Chef</v>
      </c>
      <c r="G68" t="s">
        <v>14</v>
      </c>
      <c r="H68" t="s">
        <v>15</v>
      </c>
      <c r="I68" t="s">
        <v>41</v>
      </c>
      <c r="J68" t="s">
        <v>21</v>
      </c>
      <c r="K68">
        <v>52613.47</v>
      </c>
    </row>
    <row r="69" spans="1:11" x14ac:dyDescent="0.25">
      <c r="A69" t="s">
        <v>52</v>
      </c>
      <c r="B69" t="s">
        <v>9</v>
      </c>
      <c r="C69" t="s">
        <v>10</v>
      </c>
      <c r="D69" t="s">
        <v>11</v>
      </c>
      <c r="E69" t="s">
        <v>12</v>
      </c>
      <c r="F69" t="str">
        <f t="shared" si="1"/>
        <v>Trail Chef</v>
      </c>
      <c r="G69" t="s">
        <v>14</v>
      </c>
      <c r="H69" t="s">
        <v>15</v>
      </c>
      <c r="I69" t="s">
        <v>41</v>
      </c>
      <c r="J69" t="s">
        <v>22</v>
      </c>
      <c r="K69">
        <v>41912.85</v>
      </c>
    </row>
    <row r="70" spans="1:11" x14ac:dyDescent="0.25">
      <c r="A70" t="s">
        <v>52</v>
      </c>
      <c r="B70" t="s">
        <v>9</v>
      </c>
      <c r="C70" t="s">
        <v>10</v>
      </c>
      <c r="D70" t="s">
        <v>11</v>
      </c>
      <c r="E70" t="s">
        <v>12</v>
      </c>
      <c r="F70" t="str">
        <f t="shared" si="1"/>
        <v>Trail Chef</v>
      </c>
      <c r="G70" t="s">
        <v>14</v>
      </c>
      <c r="H70" t="s">
        <v>15</v>
      </c>
      <c r="I70" t="s">
        <v>41</v>
      </c>
      <c r="J70" t="s">
        <v>23</v>
      </c>
      <c r="K70">
        <v>59479.91</v>
      </c>
    </row>
    <row r="71" spans="1:11" x14ac:dyDescent="0.25">
      <c r="A71" t="s">
        <v>52</v>
      </c>
      <c r="B71" t="s">
        <v>9</v>
      </c>
      <c r="C71" t="s">
        <v>10</v>
      </c>
      <c r="D71" t="s">
        <v>11</v>
      </c>
      <c r="E71" t="s">
        <v>12</v>
      </c>
      <c r="F71" t="str">
        <f t="shared" si="1"/>
        <v>Trail Chef</v>
      </c>
      <c r="G71" t="s">
        <v>14</v>
      </c>
      <c r="H71" t="s">
        <v>15</v>
      </c>
      <c r="I71" t="s">
        <v>41</v>
      </c>
      <c r="J71" t="s">
        <v>24</v>
      </c>
      <c r="K71">
        <v>156324.28</v>
      </c>
    </row>
    <row r="72" spans="1:11" x14ac:dyDescent="0.25">
      <c r="A72" t="s">
        <v>52</v>
      </c>
      <c r="B72" t="s">
        <v>9</v>
      </c>
      <c r="C72" t="s">
        <v>10</v>
      </c>
      <c r="D72" t="s">
        <v>11</v>
      </c>
      <c r="E72" t="s">
        <v>12</v>
      </c>
      <c r="F72" t="str">
        <f t="shared" si="1"/>
        <v>Trail Chef</v>
      </c>
      <c r="G72" t="s">
        <v>14</v>
      </c>
      <c r="H72" t="s">
        <v>15</v>
      </c>
      <c r="I72" t="s">
        <v>41</v>
      </c>
      <c r="J72" t="s">
        <v>25</v>
      </c>
      <c r="K72">
        <v>23042.67</v>
      </c>
    </row>
    <row r="73" spans="1:11" x14ac:dyDescent="0.25">
      <c r="A73" t="s">
        <v>52</v>
      </c>
      <c r="B73" t="s">
        <v>9</v>
      </c>
      <c r="C73" t="s">
        <v>10</v>
      </c>
      <c r="D73" t="s">
        <v>11</v>
      </c>
      <c r="E73" t="s">
        <v>12</v>
      </c>
      <c r="F73" t="str">
        <f t="shared" si="1"/>
        <v>Trail Chef</v>
      </c>
      <c r="G73" t="s">
        <v>14</v>
      </c>
      <c r="H73" t="s">
        <v>15</v>
      </c>
      <c r="I73" t="s">
        <v>41</v>
      </c>
      <c r="J73" t="s">
        <v>26</v>
      </c>
      <c r="K73">
        <v>59479.91</v>
      </c>
    </row>
    <row r="74" spans="1:11" x14ac:dyDescent="0.25">
      <c r="A74" t="s">
        <v>52</v>
      </c>
      <c r="B74" t="s">
        <v>9</v>
      </c>
      <c r="C74" t="s">
        <v>10</v>
      </c>
      <c r="D74" t="s">
        <v>11</v>
      </c>
      <c r="E74" t="s">
        <v>12</v>
      </c>
      <c r="F74" t="str">
        <f t="shared" si="1"/>
        <v>Trail Chef</v>
      </c>
      <c r="G74" t="s">
        <v>14</v>
      </c>
      <c r="H74" t="s">
        <v>15</v>
      </c>
      <c r="I74" t="s">
        <v>41</v>
      </c>
      <c r="J74" t="s">
        <v>27</v>
      </c>
      <c r="K74">
        <v>66446.59</v>
      </c>
    </row>
    <row r="75" spans="1:11" x14ac:dyDescent="0.25">
      <c r="A75" t="s">
        <v>52</v>
      </c>
      <c r="B75" t="s">
        <v>9</v>
      </c>
      <c r="C75" t="s">
        <v>10</v>
      </c>
      <c r="D75" t="s">
        <v>11</v>
      </c>
      <c r="E75" t="s">
        <v>12</v>
      </c>
      <c r="F75" t="str">
        <f t="shared" si="1"/>
        <v>Trail Chef</v>
      </c>
      <c r="G75" t="s">
        <v>14</v>
      </c>
      <c r="H75" t="s">
        <v>15</v>
      </c>
      <c r="I75" t="s">
        <v>41</v>
      </c>
      <c r="J75" t="s">
        <v>28</v>
      </c>
      <c r="K75">
        <v>13620.11</v>
      </c>
    </row>
    <row r="76" spans="1:11" x14ac:dyDescent="0.25">
      <c r="A76" t="s">
        <v>52</v>
      </c>
      <c r="B76" t="s">
        <v>9</v>
      </c>
      <c r="C76" t="s">
        <v>10</v>
      </c>
      <c r="D76" t="s">
        <v>11</v>
      </c>
      <c r="E76" t="s">
        <v>12</v>
      </c>
      <c r="F76" t="str">
        <f t="shared" si="1"/>
        <v>Trail Chef</v>
      </c>
      <c r="G76" t="s">
        <v>14</v>
      </c>
      <c r="H76" t="s">
        <v>15</v>
      </c>
      <c r="I76" t="s">
        <v>41</v>
      </c>
      <c r="J76" t="s">
        <v>29</v>
      </c>
      <c r="K76">
        <v>77447.929999999993</v>
      </c>
    </row>
    <row r="77" spans="1:11" x14ac:dyDescent="0.25">
      <c r="A77" t="s">
        <v>52</v>
      </c>
      <c r="B77" t="s">
        <v>9</v>
      </c>
      <c r="C77" t="s">
        <v>10</v>
      </c>
      <c r="D77" t="s">
        <v>11</v>
      </c>
      <c r="E77" t="s">
        <v>12</v>
      </c>
      <c r="F77" t="str">
        <f t="shared" si="1"/>
        <v>Trail Chef</v>
      </c>
      <c r="G77" t="s">
        <v>14</v>
      </c>
      <c r="H77" t="s">
        <v>15</v>
      </c>
      <c r="I77" t="s">
        <v>41</v>
      </c>
      <c r="J77" t="s">
        <v>30</v>
      </c>
      <c r="K77">
        <v>6615.84</v>
      </c>
    </row>
    <row r="78" spans="1:11" x14ac:dyDescent="0.25">
      <c r="A78" t="s">
        <v>52</v>
      </c>
      <c r="B78" t="s">
        <v>9</v>
      </c>
      <c r="C78" t="s">
        <v>10</v>
      </c>
      <c r="D78" t="s">
        <v>11</v>
      </c>
      <c r="E78" t="s">
        <v>12</v>
      </c>
      <c r="F78" t="str">
        <f t="shared" si="1"/>
        <v>Trail Chef</v>
      </c>
      <c r="G78" t="s">
        <v>14</v>
      </c>
      <c r="H78" t="s">
        <v>15</v>
      </c>
      <c r="I78" t="s">
        <v>41</v>
      </c>
      <c r="J78" t="s">
        <v>31</v>
      </c>
      <c r="K78">
        <v>52613.47</v>
      </c>
    </row>
    <row r="79" spans="1:11" x14ac:dyDescent="0.25">
      <c r="A79" t="s">
        <v>52</v>
      </c>
      <c r="B79" t="s">
        <v>9</v>
      </c>
      <c r="C79" t="s">
        <v>10</v>
      </c>
      <c r="D79" t="s">
        <v>11</v>
      </c>
      <c r="E79" t="s">
        <v>12</v>
      </c>
      <c r="F79" t="str">
        <f t="shared" si="1"/>
        <v>Trail Chef</v>
      </c>
      <c r="G79" t="s">
        <v>14</v>
      </c>
      <c r="H79" t="s">
        <v>15</v>
      </c>
      <c r="I79" t="s">
        <v>41</v>
      </c>
      <c r="J79" t="s">
        <v>32</v>
      </c>
      <c r="K79">
        <v>41912.85</v>
      </c>
    </row>
    <row r="80" spans="1:11" x14ac:dyDescent="0.25">
      <c r="A80" t="s">
        <v>52</v>
      </c>
      <c r="B80" t="s">
        <v>9</v>
      </c>
      <c r="C80" t="s">
        <v>10</v>
      </c>
      <c r="D80" t="s">
        <v>11</v>
      </c>
      <c r="E80" t="s">
        <v>12</v>
      </c>
      <c r="F80" t="str">
        <f t="shared" si="1"/>
        <v>Trail Chef</v>
      </c>
      <c r="G80" t="s">
        <v>14</v>
      </c>
      <c r="H80" t="s">
        <v>15</v>
      </c>
      <c r="I80" t="s">
        <v>41</v>
      </c>
      <c r="J80" t="s">
        <v>48</v>
      </c>
      <c r="K80">
        <v>59479.91</v>
      </c>
    </row>
    <row r="81" spans="1:11" x14ac:dyDescent="0.25">
      <c r="A81" t="s">
        <v>52</v>
      </c>
      <c r="B81" t="s">
        <v>9</v>
      </c>
      <c r="C81" t="s">
        <v>10</v>
      </c>
      <c r="D81" t="s">
        <v>11</v>
      </c>
      <c r="E81" t="s">
        <v>12</v>
      </c>
      <c r="F81" t="str">
        <f t="shared" si="1"/>
        <v>Trail Chef</v>
      </c>
      <c r="G81" t="s">
        <v>14</v>
      </c>
      <c r="H81" t="s">
        <v>15</v>
      </c>
      <c r="I81" t="s">
        <v>41</v>
      </c>
      <c r="J81" t="s">
        <v>34</v>
      </c>
      <c r="K81">
        <v>156324.28</v>
      </c>
    </row>
    <row r="82" spans="1:11" x14ac:dyDescent="0.25">
      <c r="A82" t="s">
        <v>52</v>
      </c>
      <c r="B82" t="s">
        <v>9</v>
      </c>
      <c r="C82" t="s">
        <v>10</v>
      </c>
      <c r="D82" t="s">
        <v>11</v>
      </c>
      <c r="E82" t="s">
        <v>12</v>
      </c>
      <c r="F82" t="str">
        <f t="shared" si="1"/>
        <v>Trail Chef</v>
      </c>
      <c r="G82" t="s">
        <v>14</v>
      </c>
      <c r="H82" t="s">
        <v>15</v>
      </c>
      <c r="I82" t="s">
        <v>41</v>
      </c>
      <c r="J82" t="s">
        <v>35</v>
      </c>
      <c r="K82">
        <v>23042.67</v>
      </c>
    </row>
    <row r="83" spans="1:11" x14ac:dyDescent="0.25">
      <c r="A83" t="s">
        <v>52</v>
      </c>
      <c r="B83" t="s">
        <v>9</v>
      </c>
      <c r="C83" t="s">
        <v>10</v>
      </c>
      <c r="D83" t="s">
        <v>11</v>
      </c>
      <c r="E83" t="s">
        <v>12</v>
      </c>
      <c r="F83" t="str">
        <f t="shared" si="1"/>
        <v>Trail Chef</v>
      </c>
      <c r="G83" t="s">
        <v>14</v>
      </c>
      <c r="H83" t="s">
        <v>15</v>
      </c>
      <c r="I83" t="s">
        <v>41</v>
      </c>
      <c r="J83" t="s">
        <v>36</v>
      </c>
      <c r="K83">
        <v>59479.91</v>
      </c>
    </row>
    <row r="84" spans="1:11" x14ac:dyDescent="0.25">
      <c r="A84" t="s">
        <v>52</v>
      </c>
      <c r="B84" t="s">
        <v>9</v>
      </c>
      <c r="C84" t="s">
        <v>10</v>
      </c>
      <c r="D84" t="s">
        <v>11</v>
      </c>
      <c r="E84" t="s">
        <v>12</v>
      </c>
      <c r="F84" t="str">
        <f t="shared" si="1"/>
        <v>Trail Chef</v>
      </c>
      <c r="G84" t="s">
        <v>14</v>
      </c>
      <c r="H84" t="s">
        <v>15</v>
      </c>
      <c r="I84" t="s">
        <v>41</v>
      </c>
      <c r="J84" t="s">
        <v>37</v>
      </c>
      <c r="K84">
        <v>66446.59</v>
      </c>
    </row>
    <row r="85" spans="1:11" x14ac:dyDescent="0.25">
      <c r="A85" t="s">
        <v>52</v>
      </c>
      <c r="B85" t="s">
        <v>9</v>
      </c>
      <c r="C85" t="s">
        <v>10</v>
      </c>
      <c r="D85" t="s">
        <v>11</v>
      </c>
      <c r="E85" t="s">
        <v>12</v>
      </c>
      <c r="F85" t="str">
        <f t="shared" si="1"/>
        <v>Trail Chef</v>
      </c>
      <c r="G85" t="s">
        <v>14</v>
      </c>
      <c r="H85" t="s">
        <v>15</v>
      </c>
      <c r="I85" t="s">
        <v>41</v>
      </c>
      <c r="J85" t="s">
        <v>38</v>
      </c>
      <c r="K85">
        <v>13620.11</v>
      </c>
    </row>
    <row r="86" spans="1:11" x14ac:dyDescent="0.25">
      <c r="A86" t="s">
        <v>52</v>
      </c>
      <c r="B86" t="s">
        <v>9</v>
      </c>
      <c r="C86" t="s">
        <v>10</v>
      </c>
      <c r="D86" t="s">
        <v>11</v>
      </c>
      <c r="E86" t="s">
        <v>12</v>
      </c>
      <c r="F86" t="str">
        <f t="shared" si="1"/>
        <v>Trail Chef</v>
      </c>
      <c r="G86" t="s">
        <v>14</v>
      </c>
      <c r="H86" t="s">
        <v>15</v>
      </c>
      <c r="I86" t="s">
        <v>42</v>
      </c>
      <c r="J86" t="s">
        <v>47</v>
      </c>
      <c r="K86">
        <v>77447.929999999993</v>
      </c>
    </row>
    <row r="87" spans="1:11" x14ac:dyDescent="0.25">
      <c r="A87" t="s">
        <v>52</v>
      </c>
      <c r="B87" t="s">
        <v>9</v>
      </c>
      <c r="C87" t="s">
        <v>10</v>
      </c>
      <c r="D87" t="s">
        <v>11</v>
      </c>
      <c r="E87" t="s">
        <v>12</v>
      </c>
      <c r="F87" t="str">
        <f t="shared" si="1"/>
        <v>Trail Chef</v>
      </c>
      <c r="G87" t="s">
        <v>14</v>
      </c>
      <c r="H87" t="s">
        <v>15</v>
      </c>
      <c r="I87" t="s">
        <v>42</v>
      </c>
      <c r="J87" t="s">
        <v>19</v>
      </c>
      <c r="K87">
        <v>6615.84</v>
      </c>
    </row>
    <row r="88" spans="1:11" x14ac:dyDescent="0.25">
      <c r="A88" t="s">
        <v>52</v>
      </c>
      <c r="B88" t="s">
        <v>9</v>
      </c>
      <c r="C88" t="s">
        <v>10</v>
      </c>
      <c r="D88" t="s">
        <v>11</v>
      </c>
      <c r="E88" t="s">
        <v>12</v>
      </c>
      <c r="F88" t="str">
        <f t="shared" si="1"/>
        <v>Trail Chef</v>
      </c>
      <c r="G88" t="s">
        <v>14</v>
      </c>
      <c r="H88" t="s">
        <v>15</v>
      </c>
      <c r="I88" t="s">
        <v>42</v>
      </c>
      <c r="J88" t="s">
        <v>20</v>
      </c>
      <c r="K88">
        <v>52613.47</v>
      </c>
    </row>
    <row r="89" spans="1:11" x14ac:dyDescent="0.25">
      <c r="A89" t="s">
        <v>52</v>
      </c>
      <c r="B89" t="s">
        <v>9</v>
      </c>
      <c r="C89" t="s">
        <v>10</v>
      </c>
      <c r="D89" t="s">
        <v>11</v>
      </c>
      <c r="E89" t="s">
        <v>12</v>
      </c>
      <c r="F89" t="str">
        <f t="shared" si="1"/>
        <v>Trail Chef</v>
      </c>
      <c r="G89" t="s">
        <v>14</v>
      </c>
      <c r="H89" t="s">
        <v>15</v>
      </c>
      <c r="I89" t="s">
        <v>42</v>
      </c>
      <c r="J89" t="s">
        <v>21</v>
      </c>
      <c r="K89">
        <v>41912.85</v>
      </c>
    </row>
    <row r="90" spans="1:11" x14ac:dyDescent="0.25">
      <c r="A90" t="s">
        <v>52</v>
      </c>
      <c r="B90" t="s">
        <v>9</v>
      </c>
      <c r="C90" t="s">
        <v>10</v>
      </c>
      <c r="D90" t="s">
        <v>11</v>
      </c>
      <c r="E90" t="s">
        <v>12</v>
      </c>
      <c r="F90" t="str">
        <f t="shared" si="1"/>
        <v>Trail Chef</v>
      </c>
      <c r="G90" t="s">
        <v>14</v>
      </c>
      <c r="H90" t="s">
        <v>15</v>
      </c>
      <c r="I90" t="s">
        <v>42</v>
      </c>
      <c r="J90" t="s">
        <v>22</v>
      </c>
      <c r="K90">
        <v>59479.91</v>
      </c>
    </row>
    <row r="91" spans="1:11" x14ac:dyDescent="0.25">
      <c r="A91" t="s">
        <v>52</v>
      </c>
      <c r="B91" t="s">
        <v>9</v>
      </c>
      <c r="C91" t="s">
        <v>10</v>
      </c>
      <c r="D91" t="s">
        <v>11</v>
      </c>
      <c r="E91" t="s">
        <v>12</v>
      </c>
      <c r="F91" t="str">
        <f t="shared" si="1"/>
        <v>Trail Chef</v>
      </c>
      <c r="G91" t="s">
        <v>14</v>
      </c>
      <c r="H91" t="s">
        <v>15</v>
      </c>
      <c r="I91" t="s">
        <v>42</v>
      </c>
      <c r="J91" t="s">
        <v>23</v>
      </c>
      <c r="K91">
        <v>156324.28</v>
      </c>
    </row>
    <row r="92" spans="1:11" x14ac:dyDescent="0.25">
      <c r="A92" t="s">
        <v>52</v>
      </c>
      <c r="B92" t="s">
        <v>9</v>
      </c>
      <c r="C92" t="s">
        <v>10</v>
      </c>
      <c r="D92" t="s">
        <v>11</v>
      </c>
      <c r="E92" t="s">
        <v>12</v>
      </c>
      <c r="F92" t="str">
        <f t="shared" si="1"/>
        <v>Trail Chef</v>
      </c>
      <c r="G92" t="s">
        <v>14</v>
      </c>
      <c r="H92" t="s">
        <v>15</v>
      </c>
      <c r="I92" t="s">
        <v>42</v>
      </c>
      <c r="J92" t="s">
        <v>24</v>
      </c>
      <c r="K92">
        <v>23042.67</v>
      </c>
    </row>
    <row r="93" spans="1:11" x14ac:dyDescent="0.25">
      <c r="A93" t="s">
        <v>52</v>
      </c>
      <c r="B93" t="s">
        <v>9</v>
      </c>
      <c r="C93" t="s">
        <v>10</v>
      </c>
      <c r="D93" t="s">
        <v>11</v>
      </c>
      <c r="E93" t="s">
        <v>12</v>
      </c>
      <c r="F93" t="str">
        <f t="shared" si="1"/>
        <v>Trail Chef</v>
      </c>
      <c r="G93" t="s">
        <v>14</v>
      </c>
      <c r="H93" t="s">
        <v>15</v>
      </c>
      <c r="I93" t="s">
        <v>42</v>
      </c>
      <c r="J93" t="s">
        <v>25</v>
      </c>
      <c r="K93">
        <v>59479.91</v>
      </c>
    </row>
    <row r="94" spans="1:11" x14ac:dyDescent="0.25">
      <c r="A94" t="s">
        <v>52</v>
      </c>
      <c r="B94" t="s">
        <v>9</v>
      </c>
      <c r="C94" t="s">
        <v>10</v>
      </c>
      <c r="D94" t="s">
        <v>11</v>
      </c>
      <c r="E94" t="s">
        <v>12</v>
      </c>
      <c r="F94" t="str">
        <f t="shared" si="1"/>
        <v>Trail Chef</v>
      </c>
      <c r="G94" t="s">
        <v>14</v>
      </c>
      <c r="H94" t="s">
        <v>15</v>
      </c>
      <c r="I94" t="s">
        <v>42</v>
      </c>
      <c r="J94" t="s">
        <v>26</v>
      </c>
      <c r="K94">
        <v>66446.59</v>
      </c>
    </row>
    <row r="95" spans="1:11" x14ac:dyDescent="0.25">
      <c r="A95" t="s">
        <v>52</v>
      </c>
      <c r="B95" t="s">
        <v>9</v>
      </c>
      <c r="C95" t="s">
        <v>10</v>
      </c>
      <c r="D95" t="s">
        <v>11</v>
      </c>
      <c r="E95" t="s">
        <v>12</v>
      </c>
      <c r="F95" t="str">
        <f t="shared" si="1"/>
        <v>Trail Chef</v>
      </c>
      <c r="G95" t="s">
        <v>14</v>
      </c>
      <c r="H95" t="s">
        <v>15</v>
      </c>
      <c r="I95" t="s">
        <v>42</v>
      </c>
      <c r="J95" t="s">
        <v>27</v>
      </c>
      <c r="K95">
        <v>13620.11</v>
      </c>
    </row>
    <row r="96" spans="1:11" x14ac:dyDescent="0.25">
      <c r="A96" t="s">
        <v>52</v>
      </c>
      <c r="B96" t="s">
        <v>9</v>
      </c>
      <c r="C96" t="s">
        <v>10</v>
      </c>
      <c r="D96" t="s">
        <v>11</v>
      </c>
      <c r="E96" t="s">
        <v>12</v>
      </c>
      <c r="F96" t="str">
        <f t="shared" si="1"/>
        <v>Trail Chef</v>
      </c>
      <c r="G96" t="s">
        <v>14</v>
      </c>
      <c r="H96" t="s">
        <v>15</v>
      </c>
      <c r="I96" t="s">
        <v>42</v>
      </c>
      <c r="J96" t="s">
        <v>28</v>
      </c>
      <c r="K96">
        <v>77447.929999999993</v>
      </c>
    </row>
    <row r="97" spans="1:11" x14ac:dyDescent="0.25">
      <c r="A97" t="s">
        <v>52</v>
      </c>
      <c r="B97" t="s">
        <v>9</v>
      </c>
      <c r="C97" t="s">
        <v>10</v>
      </c>
      <c r="D97" t="s">
        <v>11</v>
      </c>
      <c r="E97" t="s">
        <v>12</v>
      </c>
      <c r="F97" t="str">
        <f t="shared" si="1"/>
        <v>Trail Chef</v>
      </c>
      <c r="G97" t="s">
        <v>14</v>
      </c>
      <c r="H97" t="s">
        <v>15</v>
      </c>
      <c r="I97" t="s">
        <v>42</v>
      </c>
      <c r="J97" t="s">
        <v>29</v>
      </c>
      <c r="K97">
        <v>6615.84</v>
      </c>
    </row>
    <row r="98" spans="1:11" x14ac:dyDescent="0.25">
      <c r="A98" t="s">
        <v>52</v>
      </c>
      <c r="B98" t="s">
        <v>9</v>
      </c>
      <c r="C98" t="s">
        <v>10</v>
      </c>
      <c r="D98" t="s">
        <v>11</v>
      </c>
      <c r="E98" t="s">
        <v>12</v>
      </c>
      <c r="F98" t="str">
        <f t="shared" si="1"/>
        <v>Trail Chef</v>
      </c>
      <c r="G98" t="s">
        <v>14</v>
      </c>
      <c r="H98" t="s">
        <v>15</v>
      </c>
      <c r="I98" t="s">
        <v>42</v>
      </c>
      <c r="J98" t="s">
        <v>30</v>
      </c>
      <c r="K98">
        <v>52613.47</v>
      </c>
    </row>
    <row r="99" spans="1:11" x14ac:dyDescent="0.25">
      <c r="A99" t="s">
        <v>52</v>
      </c>
      <c r="B99" t="s">
        <v>9</v>
      </c>
      <c r="C99" t="s">
        <v>10</v>
      </c>
      <c r="D99" t="s">
        <v>11</v>
      </c>
      <c r="E99" t="s">
        <v>12</v>
      </c>
      <c r="F99" t="str">
        <f t="shared" si="1"/>
        <v>Trail Chef</v>
      </c>
      <c r="G99" t="s">
        <v>14</v>
      </c>
      <c r="H99" t="s">
        <v>15</v>
      </c>
      <c r="I99" t="s">
        <v>42</v>
      </c>
      <c r="J99" t="s">
        <v>31</v>
      </c>
      <c r="K99">
        <v>41912.85</v>
      </c>
    </row>
    <row r="100" spans="1:11" x14ac:dyDescent="0.25">
      <c r="A100" t="s">
        <v>52</v>
      </c>
      <c r="B100" t="s">
        <v>9</v>
      </c>
      <c r="C100" t="s">
        <v>10</v>
      </c>
      <c r="D100" t="s">
        <v>11</v>
      </c>
      <c r="E100" t="s">
        <v>12</v>
      </c>
      <c r="F100" t="str">
        <f t="shared" si="1"/>
        <v>Trail Chef</v>
      </c>
      <c r="G100" t="s">
        <v>14</v>
      </c>
      <c r="H100" t="s">
        <v>15</v>
      </c>
      <c r="I100" t="s">
        <v>42</v>
      </c>
      <c r="J100" t="s">
        <v>32</v>
      </c>
      <c r="K100">
        <v>59479.91</v>
      </c>
    </row>
    <row r="101" spans="1:11" x14ac:dyDescent="0.25">
      <c r="A101" t="s">
        <v>52</v>
      </c>
      <c r="B101" t="s">
        <v>9</v>
      </c>
      <c r="C101" t="s">
        <v>10</v>
      </c>
      <c r="D101" t="s">
        <v>11</v>
      </c>
      <c r="E101" t="s">
        <v>12</v>
      </c>
      <c r="F101" t="str">
        <f t="shared" si="1"/>
        <v>Trail Chef</v>
      </c>
      <c r="G101" t="s">
        <v>14</v>
      </c>
      <c r="H101" t="s">
        <v>15</v>
      </c>
      <c r="I101" t="s">
        <v>42</v>
      </c>
      <c r="J101" t="s">
        <v>48</v>
      </c>
      <c r="K101">
        <v>156324.28</v>
      </c>
    </row>
  </sheetData>
  <autoFilter ref="J1:J101" xr:uid="{06519A28-9942-464C-9AE1-4F331C7DD25D}"/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AFA2-1FC0-40A0-92B1-E8331D365A27}">
  <dimension ref="A3:B25"/>
  <sheetViews>
    <sheetView workbookViewId="0">
      <selection activeCell="N2" sqref="N2"/>
    </sheetView>
  </sheetViews>
  <sheetFormatPr defaultRowHeight="15" x14ac:dyDescent="0.25"/>
  <cols>
    <col min="1" max="1" width="17.28515625" bestFit="1" customWidth="1"/>
    <col min="2" max="2" width="15.85546875" bestFit="1" customWidth="1"/>
    <col min="3" max="6" width="11" bestFit="1" customWidth="1"/>
    <col min="7" max="7" width="11.28515625" bestFit="1" customWidth="1"/>
  </cols>
  <sheetData>
    <row r="3" spans="1:2" x14ac:dyDescent="0.25">
      <c r="A3" s="4" t="s">
        <v>49</v>
      </c>
      <c r="B3" t="s">
        <v>51</v>
      </c>
    </row>
    <row r="4" spans="1:2" x14ac:dyDescent="0.25">
      <c r="A4" s="1" t="s">
        <v>47</v>
      </c>
      <c r="B4" s="5">
        <v>740727.15999999992</v>
      </c>
    </row>
    <row r="5" spans="1:2" x14ac:dyDescent="0.25">
      <c r="A5" s="1" t="s">
        <v>24</v>
      </c>
      <c r="B5" s="5">
        <v>622502.41</v>
      </c>
    </row>
    <row r="6" spans="1:2" x14ac:dyDescent="0.25">
      <c r="A6" s="1" t="s">
        <v>29</v>
      </c>
      <c r="B6" s="5">
        <v>571848.43999999994</v>
      </c>
    </row>
    <row r="7" spans="1:2" x14ac:dyDescent="0.25">
      <c r="A7" s="1" t="s">
        <v>48</v>
      </c>
      <c r="B7" s="5">
        <v>499671.32000000007</v>
      </c>
    </row>
    <row r="8" spans="1:2" x14ac:dyDescent="0.25">
      <c r="A8" s="1" t="s">
        <v>26</v>
      </c>
      <c r="B8" s="5">
        <v>467089.70999999996</v>
      </c>
    </row>
    <row r="9" spans="1:2" x14ac:dyDescent="0.25">
      <c r="A9" s="1" t="s">
        <v>23</v>
      </c>
      <c r="B9" s="5">
        <v>429402.43000000005</v>
      </c>
    </row>
    <row r="10" spans="1:2" x14ac:dyDescent="0.25">
      <c r="A10" s="1" t="s">
        <v>19</v>
      </c>
      <c r="B10" s="5">
        <v>420274.19</v>
      </c>
    </row>
    <row r="11" spans="1:2" x14ac:dyDescent="0.25">
      <c r="A11" s="1" t="s">
        <v>31</v>
      </c>
      <c r="B11" s="5">
        <v>389180.08999999997</v>
      </c>
    </row>
    <row r="12" spans="1:2" x14ac:dyDescent="0.25">
      <c r="A12" s="1" t="s">
        <v>21</v>
      </c>
      <c r="B12" s="5">
        <v>387599.39</v>
      </c>
    </row>
    <row r="13" spans="1:2" x14ac:dyDescent="0.25">
      <c r="A13" s="1" t="s">
        <v>32</v>
      </c>
      <c r="B13" s="5">
        <v>320038.34000000003</v>
      </c>
    </row>
    <row r="14" spans="1:2" x14ac:dyDescent="0.25">
      <c r="A14" s="1" t="s">
        <v>34</v>
      </c>
      <c r="B14" s="5">
        <v>318531.18</v>
      </c>
    </row>
    <row r="15" spans="1:2" x14ac:dyDescent="0.25">
      <c r="A15" s="1" t="s">
        <v>36</v>
      </c>
      <c r="B15" s="5">
        <v>315655.74</v>
      </c>
    </row>
    <row r="16" spans="1:2" x14ac:dyDescent="0.25">
      <c r="A16" s="1" t="s">
        <v>28</v>
      </c>
      <c r="B16" s="5">
        <v>311532.71999999997</v>
      </c>
    </row>
    <row r="17" spans="1:2" x14ac:dyDescent="0.25">
      <c r="A17" s="1" t="s">
        <v>20</v>
      </c>
      <c r="B17" s="5">
        <v>284685.66000000003</v>
      </c>
    </row>
    <row r="18" spans="1:2" x14ac:dyDescent="0.25">
      <c r="A18" s="1" t="s">
        <v>27</v>
      </c>
      <c r="B18" s="5">
        <v>244450.26</v>
      </c>
    </row>
    <row r="19" spans="1:2" x14ac:dyDescent="0.25">
      <c r="A19" s="1" t="s">
        <v>37</v>
      </c>
      <c r="B19" s="5">
        <v>242723.03</v>
      </c>
    </row>
    <row r="20" spans="1:2" x14ac:dyDescent="0.25">
      <c r="A20" s="1" t="s">
        <v>25</v>
      </c>
      <c r="B20" s="5">
        <v>213250.57</v>
      </c>
    </row>
    <row r="21" spans="1:2" x14ac:dyDescent="0.25">
      <c r="A21" s="1" t="s">
        <v>22</v>
      </c>
      <c r="B21" s="5">
        <v>196898.91</v>
      </c>
    </row>
    <row r="22" spans="1:2" x14ac:dyDescent="0.25">
      <c r="A22" s="1" t="s">
        <v>38</v>
      </c>
      <c r="B22" s="5">
        <v>196039.64999999997</v>
      </c>
    </row>
    <row r="23" spans="1:2" x14ac:dyDescent="0.25">
      <c r="A23" s="1" t="s">
        <v>35</v>
      </c>
      <c r="B23" s="5">
        <v>178394.94</v>
      </c>
    </row>
    <row r="24" spans="1:2" x14ac:dyDescent="0.25">
      <c r="A24" s="1" t="s">
        <v>30</v>
      </c>
      <c r="B24" s="5">
        <v>129413.03</v>
      </c>
    </row>
    <row r="25" spans="1:2" x14ac:dyDescent="0.25">
      <c r="A25" s="1" t="s">
        <v>50</v>
      </c>
      <c r="B25" s="5">
        <v>7479909.1699999999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sales-raw data</vt:lpstr>
      <vt:lpstr>cleaned 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Sheena Hill</cp:lastModifiedBy>
  <dcterms:created xsi:type="dcterms:W3CDTF">2025-04-13T01:56:11Z</dcterms:created>
  <dcterms:modified xsi:type="dcterms:W3CDTF">2025-04-13T03:52:55Z</dcterms:modified>
</cp:coreProperties>
</file>